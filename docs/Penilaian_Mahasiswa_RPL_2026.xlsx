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 &amp; Legenda" sheetId="1" state="visible" r:id="rId1"/>
    <sheet name="Penilaian Kelas B" sheetId="2" state="visible" r:id="rId2"/>
    <sheet name="Penilaian Kelas 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1F4E78"/>
      <sz val="13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85723"/>
      <sz val="10"/>
    </font>
    <font>
      <name val="Segoe UI"/>
      <b val="1"/>
      <color rgb="001B365D"/>
      <sz val="10"/>
    </font>
    <font>
      <name val="Segoe UI"/>
      <b val="1"/>
      <color rgb="00C00000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thin">
        <color rgb="001B365D"/>
      </top>
      <bottom style="thin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Panduan RPL 2026</author>
  </authors>
  <commentList>
    <comment ref="D5" authorId="0" shapeId="0">
      <text>
        <t>Task 1:
Buat Entitas Data (Migration, Model, Seeder) Proposal &amp; ResearchSchema
Path:
`app/Models/Proposal.php` dll</t>
      </text>
    </comment>
    <comment ref="E5" authorId="0" shapeId="0">
      <text>
        <t>Task 2:
Buat routing web untuk group proposal
Path:
`routes/web.php`</t>
      </text>
    </comment>
    <comment ref="D6" authorId="0" shapeId="0">
      <text>
        <t>Task 1:
Buat method controller index proposal (Dosen)
Path:
`app/Http/Controllers/ProposalController.php`
Method:
`index()`</t>
      </text>
    </comment>
    <comment ref="E6" authorId="0" shapeId="0">
      <text>
        <t>Task 2:
Buat view daftar proposal user
Path:
`resources/js/pages/Proposal/Index.tsx`</t>
      </text>
    </comment>
    <comment ref="F6" authorId="0" shapeId="0">
      <text>
        <t>Task 3:
Buat method controller detail proposal
Path:
`app/Http/Controllers/ProposalController.php`
Method:
`show()`</t>
      </text>
    </comment>
    <comment ref="G6" authorId="0" shapeId="0">
      <text>
        <t>Task 4:
Buat view detail/riwayat proposal
Path:
`resources/js/pages/Proposal/Show.tsx`</t>
      </text>
    </comment>
    <comment ref="D7" authorId="0" shapeId="0">
      <text>
        <t>Task 1:
Buat method controller menampilkan form create
Path:
`app/Http/Controllers/ProposalController.php`
Method:
`create()`</t>
      </text>
    </comment>
    <comment ref="E7" authorId="0" shapeId="0">
      <text>
        <t>Task 2:
Buat view form pengajuan proposal
Path:
`resources/js/pages/Proposal/Create.tsx`</t>
      </text>
    </comment>
    <comment ref="F7" authorId="0" shapeId="0">
      <text>
        <t>Task 3:
Buat method controller simpan data proposal baru
Path:
`app/Http/Controllers/ProposalController.php`
Method:
`store()`</t>
      </text>
    </comment>
    <comment ref="G7" authorId="0" shapeId="0">
      <text>
        <t>Task 4:
Buat request class validasi StoreProposal
Path:
`app/Http/Requests/StoreProposalRequest.php`
Method:
`rules()`</t>
      </text>
    </comment>
    <comment ref="D8" authorId="0" shapeId="0">
      <text>
        <t>Task 1:
Buat method controller menampilkan form edit
Path:
`app/Http/Controllers/ProposalController.php`
Method:
`edit()`</t>
      </text>
    </comment>
    <comment ref="E8" authorId="0" shapeId="0">
      <text>
        <t>Task 2:
Buat view form edit proposal
Path:
`resources/js/pages/Proposal/Edit.tsx`</t>
      </text>
    </comment>
    <comment ref="F8" authorId="0" shapeId="0">
      <text>
        <t>Task 3:
Buat method controller update data proposal
Path:
`app/Http/Controllers/ProposalController.php`
Method:
`update()`</t>
      </text>
    </comment>
    <comment ref="G8" authorId="0" shapeId="0">
      <text>
        <t>Task 4:
Buat method controller delete/cancel proposal
Path:
`app/Http/Controllers/ProposalController.php`
Method:
`destroy()`</t>
      </text>
    </comment>
    <comment ref="D9" authorId="0" shapeId="0">
      <text>
        <t>Task 1:
Buat Entitas Data (Migration, Model, Relasi) ProposalDocument
Path:
`app/Models/ProposalDocument.php` dll</t>
      </text>
    </comment>
    <comment ref="E9" authorId="0" shapeId="0">
      <text>
        <t>Task 2:
Buat method controller untuk upload dokumen
Path:
`app/Http/Controllers/DocumentController.php`
Method:
`upload()`</t>
      </text>
    </comment>
    <comment ref="F9" authorId="0" shapeId="0">
      <text>
        <t>Task 3:
Buat komponen file uploader React (Drag &amp; Drop)
Path:
`resources/js/components/FileUploader.tsx`</t>
      </text>
    </comment>
    <comment ref="G9" authorId="0" shapeId="0">
      <text>
        <t>Task 4:
Buat method controller untuk download dokumen
Path:
`app/Http/Controllers/DocumentController.php`
Method:
`download()`</t>
      </text>
    </comment>
    <comment ref="D10" authorId="0" shapeId="0">
      <text>
        <t>Task 1:
Buat method controller Admin view all proposal
Path:
`app/Http/Controllers/Admin/ProposalController.php`
Method:
`index()`</t>
      </text>
    </comment>
    <comment ref="E10" authorId="0" shapeId="0">
      <text>
        <t>Task 2:
Buat view list proposal untuk Admin Kampus
Path:
`resources/js/pages/Admin/Proposal/Index.tsx`</t>
      </text>
    </comment>
    <comment ref="F10" authorId="0" shapeId="0">
      <text>
        <t>Task 3:
Buat method controller validasi administrasi (Approve)
Path:
`app/Http/Controllers/Admin/ProposalController.php`
Method:
`approve()`</t>
      </text>
    </comment>
    <comment ref="G10" authorId="0" shapeId="0">
      <text>
        <t>Task 4:
Buat komponen tombol Approve/Reject React
Path:
`resources/js/components/ActionButtons.tsx`</t>
      </text>
    </comment>
    <comment ref="D11" authorId="0" shapeId="0">
      <text>
        <t>Task 1:
Buat method controller Skema Penelitian
Path:
`app/Http/Controllers/SchemaController.php`
Method:
`index()`</t>
      </text>
    </comment>
    <comment ref="E11" authorId="0" shapeId="0">
      <text>
        <t>Task 2:
Buat view manajemen Skema Penelitian (Admin)
Path:
`resources/js/pages/Admin/Schema/Index.tsx`</t>
      </text>
    </comment>
    <comment ref="F11" authorId="0" shapeId="0">
      <text>
        <t>Task 3:
Buat method controller detail Skema
Path:
`app/Http/Controllers/SchemaController.php`
Method:
`show()`</t>
      </text>
    </comment>
    <comment ref="G11" authorId="0" shapeId="0">
      <text>
        <t>Task 4:
Buat API resource Schema
Path:
`app/Http/Resources/SchemaResource.php`
Method:
`toArray()`</t>
      </text>
    </comment>
    <comment ref="D12" authorId="0" shapeId="0">
      <text>
        <t>Task 1:
Buat method store &amp; update Skema Penelitian
Path:
`app/Http/Controllers/SchemaController.php`
Method:
`store()`, `update()`</t>
      </text>
    </comment>
    <comment ref="E12" authorId="0" shapeId="0">
      <text>
        <t>Task 2:
Buat view form tambah Skema
Path:
`resources/js/pages/Admin/Schema/Create.tsx`</t>
      </text>
    </comment>
    <comment ref="F12" authorId="0" shapeId="0">
      <text>
        <t>Task 3:
Buat view form edit Skema
Path:
`resources/js/pages/Admin/Schema/Edit.tsx`</t>
      </text>
    </comment>
    <comment ref="G12" authorId="0" shapeId="0">
      <text>
        <t>Task 4:
Buat method controller hapus skema
Path:
`app/Http/Controllers/SchemaController.php`
Method:
`destroy()`</t>
      </text>
    </comment>
    <comment ref="D13" authorId="0" shapeId="0">
      <text>
        <t>Task 1:
Buat Entitas Data (Migration, Model, Relasi) Review &amp; AssessmentCriteria
Path:
`app/Models/Review.php` dll</t>
      </text>
    </comment>
    <comment ref="E13" authorId="0" shapeId="0">
      <text>
        <t>Task 2:
Buat method controller index daftar tugas Reviewer
Path:
`app/Http/Controllers/ReviewerController.php`
Method:
`index()`</t>
      </text>
    </comment>
    <comment ref="F13" authorId="0" shapeId="0">
      <text>
        <t>Task 3:
Buat view daftar tugas review (Dashboard Reviewer)
Path:
`resources/js/pages/Reviewer/Index.tsx`</t>
      </text>
    </comment>
    <comment ref="D14" authorId="0" shapeId="0">
      <text>
        <t>Task 1:
Buat method controller assign reviewer ke proposal
Path:
`app/Http/Controllers/Admin/AssignController.php`
Method:
`assign()`</t>
      </text>
    </comment>
    <comment ref="E14" authorId="0" shapeId="0">
      <text>
        <t>Task 2:
Buat view Admin untuk penunjukan reviewer
Path:
`resources/js/pages/Admin/Reviewer/Assign.tsx`</t>
      </text>
    </comment>
    <comment ref="F14" authorId="0" shapeId="0">
      <text>
        <t>Task 3:
Buat method controller hapus penunjukan reviewer
Path:
`app/Http/Controllers/Admin/AssignController.php`
Method:
`unassign()`</t>
      </text>
    </comment>
    <comment ref="G14" authorId="0" shapeId="0">
      <text>
        <t>Task 4:
Buat komponen modal konfirmasi penunjukan
Path:
`resources/js/components/AssignModal.tsx`</t>
      </text>
    </comment>
    <comment ref="D15" authorId="0" shapeId="0">
      <text>
        <t>Task 1:
Buat method controller simpan nilai review
Path:
`app/Http/Controllers/ReviewController.php`
Method:
`storeAssessment()`</t>
      </text>
    </comment>
    <comment ref="E15" authorId="0" shapeId="0">
      <text>
        <t>Task 2:
Buat view form penilaian proposal untuk Reviewer
Path:
`resources/js/pages/Reviewer/FormReview.tsx`</t>
      </text>
    </comment>
    <comment ref="F15" authorId="0" shapeId="0">
      <text>
        <t>Task 3:
Buat method controller update nilai review
Path:
`app/Http/Controllers/ReviewController.php`
Method:
`updateAssessment()`</t>
      </text>
    </comment>
    <comment ref="G15" authorId="0" shapeId="0">
      <text>
        <t>Task 4:
Buat request class validasi Penilaian
Path:
`app/Http/Requests/StoreReviewRequest.php`
Method:
`rules()`</t>
      </text>
    </comment>
    <comment ref="D16" authorId="0" shapeId="0">
      <text>
        <t>Task 1:
Buat method controller rekap hasil penilaian (Admin)
Path:
`app/Http/Controllers/Admin/ReviewController.php`
Method:
`summary()`</t>
      </text>
    </comment>
    <comment ref="E16" authorId="0" shapeId="0">
      <text>
        <t>Task 2:
Buat view rekap hasil review (Tabel Kalkulasi)
Path:
`resources/js/pages/Admin/Reviewer/Summary.tsx`</t>
      </text>
    </comment>
    <comment ref="F16" authorId="0" shapeId="0">
      <text>
        <t>Task 3:
Buat logic service penghitungan rata-rata nilai
Path:
`app/Services/ReviewCalculationService.php`
Method:
`calculate()`</t>
      </text>
    </comment>
    <comment ref="G16" authorId="0" shapeId="0">
      <text>
        <t>Task 4:
Buat method controller penentuan Diterima/Ditolak
Path:
`app/Http/Controllers/Admin/DecisionController.php`
Method:
`decide()`</t>
      </text>
    </comment>
    <comment ref="D17" authorId="0" shapeId="0">
      <text>
        <t>Task 1:
Buat Entitas Data (Migration, Model, Relasi) ReviewSchedule
Path:
`app/Models/ReviewSchedule.php` dll</t>
      </text>
    </comment>
    <comment ref="E17" authorId="0" shapeId="0">
      <text>
        <t>Task 2:
Buat method controller kelola jadwal review
Path:
`app/Http/Controllers/Admin/ScheduleController.php`
Method:
`store()`</t>
      </text>
    </comment>
    <comment ref="F17" authorId="0" shapeId="0">
      <text>
        <t>Task 3:
Buat view pengaturan jadwal review
Path:
`resources/js/pages/Admin/Reviewer/Schedule.tsx`</t>
      </text>
    </comment>
    <comment ref="G17" authorId="0" shapeId="0">
      <text>
        <t>Task 4:
Buat komponen DatePicker/Calendar di React
Path:
`resources/js/components/DatePicker.tsx`</t>
      </text>
    </comment>
    <comment ref="D18" authorId="0" shapeId="0">
      <text>
        <t>Task 1:
Buat method controller notifikasi reviewer via app
Path:
`app/Http/Controllers/NotificationController.php`
Method:
`notifyReviewer()`</t>
      </text>
    </comment>
    <comment ref="E18" authorId="0" shapeId="0">
      <text>
        <t>Task 2:
Buat view notifikasi/lonceng di layout React
Path:
`resources/js/components/NotificationBell.tsx`</t>
      </text>
    </comment>
    <comment ref="F18" authorId="0" shapeId="0">
      <text>
        <t>Task 3:
Buat method controller detail kriteria penilaian
Path:
`app/Http/Controllers/Admin/CriteriaController.php`
Method:
`index()`</t>
      </text>
    </comment>
    <comment ref="G18" authorId="0" shapeId="0">
      <text>
        <t>Task 4:
Buat view kelola parameter kriteria penilaian
Path:
`resources/js/pages/Admin/Criteria/Index.tsx`</t>
      </text>
    </comment>
    <comment ref="D19" authorId="0" shapeId="0">
      <text>
        <t>Task 1:
Buat method controller CRUD Kriteria Penilaian
Path:
`app/Http/Controllers/Admin/CriteriaController.php`
Method:
`store()`, `update()`</t>
      </text>
    </comment>
    <comment ref="E19" authorId="0" shapeId="0">
      <text>
        <t>Task 2:
Buat view form tambah Kriteria Penilaian
Path:
`resources/js/pages/Admin/Criteria/Create.tsx`</t>
      </text>
    </comment>
    <comment ref="F19" authorId="0" shapeId="0">
      <text>
        <t>Task 3:
Buat view form edit Kriteria Penilaian
Path:
`resources/js/pages/Admin/Criteria/Edit.tsx`</t>
      </text>
    </comment>
    <comment ref="G19" authorId="0" shapeId="0">
      <text>
        <t>Task 4:
Buat komponen Dynamic Input untuk Kriteria
Path:
`resources/js/components/DynamicInput.tsx`</t>
      </text>
    </comment>
    <comment ref="D20" authorId="0" shapeId="0">
      <text>
        <t>Task 1:
Buat method controller get riwayat review dosen
Path:
`app/Http/Controllers/ReviewHistoryController.php`
Method:
`index()`</t>
      </text>
    </comment>
    <comment ref="E20" authorId="0" shapeId="0">
      <text>
        <t>Task 2:
Buat view riwayat review untuk Dosen pengusul
Path:
`resources/js/pages/Proposal/ReviewHistory.tsx`</t>
      </text>
    </comment>
    <comment ref="F20" authorId="0" shapeId="0">
      <text>
        <t>Task 3:
Buat method controller cetak berita acara review
Path:
`app/Http/Controllers/ReviewDocumentController.php`
Method:
`printBA()`</t>
      </text>
    </comment>
    <comment ref="G20" authorId="0" shapeId="0">
      <text>
        <t>Task 4:
Buat view template Berita Acara (Cetak HTML/PDF)
Path:
`resources/views/print/berita_acara.blade.php`</t>
      </text>
    </comment>
    <comment ref="D21" authorId="0" shapeId="0">
      <text>
        <t>Task 1:
Buat Entitas Data (Migration, Model, Relasi) Contract &amp; Funding
Path:
`app/Models/Contract.php` dll</t>
      </text>
    </comment>
    <comment ref="E21" authorId="0" shapeId="0">
      <text>
        <t>Task 2:
Buat method controller index daftar kontrak
Path:
`app/Http/Controllers/ContractController.php`
Method:
`index()`</t>
      </text>
    </comment>
    <comment ref="F21" authorId="0" shapeId="0">
      <text>
        <t>Task 3:
Buat view manajemen kontrak (Admin Keuangan)
Path:
`resources/js/pages/Finance/Contract/Index.tsx`</t>
      </text>
    </comment>
    <comment ref="D22" authorId="0" shapeId="0">
      <text>
        <t>Task 1:
Buat method controller generate draft kontrak
Path:
`app/Http/Controllers/ContractController.php`
Method:
`generate()`</t>
      </text>
    </comment>
    <comment ref="E22" authorId="0" shapeId="0">
      <text>
        <t>Task 2:
Buat view detail draft kontrak penelitian
Path:
`resources/js/pages/Finance/Contract/Show.tsx`</t>
      </text>
    </comment>
    <comment ref="F22" authorId="0" shapeId="0">
      <text>
        <t>Task 3:
Buat method controller ubah status kontrak
Path:
`app/Http/Controllers/ContractController.php`
Method:
`updateStatus()`</t>
      </text>
    </comment>
    <comment ref="G22" authorId="0" shapeId="0">
      <text>
        <t>Task 4:
Buat badge component status (Aktif/Selesai)
Path:
`resources/js/components/StatusBadge.tsx`</t>
      </text>
    </comment>
    <comment ref="D23" authorId="0" shapeId="0">
      <text>
        <t>Task 1:
Buat method controller input termin pencairan
Path:
`app/Http/Controllers/FundingController.php`
Method:
`storeTermin()`</t>
      </text>
    </comment>
    <comment ref="E23" authorId="0" shapeId="0">
      <text>
        <t>Task 2:
Buat view form pencairan dana termin (Keuangan)
Path:
`resources/js/pages/Finance/Funding/Create.tsx`</t>
      </text>
    </comment>
    <comment ref="F23" authorId="0" shapeId="0">
      <text>
        <t>Task 3:
Buat request class validasi nominal dana
Path:
`app/Http/Requests/StoreFundingRequest.php`
Method:
`rules()`</t>
      </text>
    </comment>
    <comment ref="G23" authorId="0" shapeId="0">
      <text>
        <t>Task 4:
Buat method service hitung sisa dana kontrak
Path:
`app/Services/FundingService.php`
Method:
`calculateSisa()`</t>
      </text>
    </comment>
    <comment ref="D24" authorId="0" shapeId="0">
      <text>
        <t>Task 1:
Buat method controller list pendanaan per Dosen
Path:
`app/Http/Controllers/UserFundingController.php`
Method:
`index()`</t>
      </text>
    </comment>
    <comment ref="E24" authorId="0" shapeId="0">
      <text>
        <t>Task 2:
Buat view rincian dana cair untuk sisi Dosen
Path:
`resources/js/pages/Proposal/FundingInfo.tsx`</t>
      </text>
    </comment>
    <comment ref="F24" authorId="0" shapeId="0">
      <text>
        <t>Task 3:
Buat method controller upload bukti transfer dana
Path:
`app/Http/Controllers/FundingController.php`
Method:
`uploadBukti()`</t>
      </text>
    </comment>
    <comment ref="G24" authorId="0" shapeId="0">
      <text>
        <t>Task 4:
Buat komponen view bukti transfer (Modal React)
Path:
`resources/js/components/ReceiptModal.tsx`</t>
      </text>
    </comment>
    <comment ref="D25" authorId="0" shapeId="0">
      <text>
        <t>Task 1:
Buat Entitas Data (Migraton, Model, Relasi) ContractDocument
Path:
`app/Models/ContractDocument.php` dll</t>
      </text>
    </comment>
    <comment ref="E25" authorId="0" shapeId="0">
      <text>
        <t>Task 2:
Buat method controller arsip PDF kontrak ttd
Path:
`app/Http/Controllers/ContractDocController.php`
Method:
`store()`</t>
      </text>
    </comment>
    <comment ref="F25" authorId="0" shapeId="0">
      <text>
        <t>Task 3:
Buat view upload arsip kontrak final
Path:
`resources/js/pages/Finance/Contract/Upload.tsx`</t>
      </text>
    </comment>
    <comment ref="G25" authorId="0" shapeId="0">
      <text>
        <t>Task 4:
Buat method controller download arsip kontrak
Path:
`app/Http/Controllers/ContractDocController.php`
Method:
`download()`</t>
      </text>
    </comment>
    <comment ref="D26" authorId="0" shapeId="0">
      <text>
        <t>Task 1:
Buat method controller rekap administrasi keuangan
Path:
`app/Http/Controllers/FinanceReportController.php`
Method:
`summary()`</t>
      </text>
    </comment>
    <comment ref="E26" authorId="0" shapeId="0">
      <text>
        <t>Task 2:
Buat view monitoring administrasi keuangan (Tabel)
Path:
`resources/js/pages/Finance/Report/Index.tsx`</t>
      </text>
    </comment>
    <comment ref="F26" authorId="0" shapeId="0">
      <text>
        <t>Task 3:
Buat logic filter data keuangan berdasar tahun
Path:
`app/Http/Controllers/FinanceReportController.php`
Method:
`filter()`</t>
      </text>
    </comment>
    <comment ref="G26" authorId="0" shapeId="0">
      <text>
        <t>Task 4:
Buat form filter (Tahun/Skema) di React
Path:
`resources/js/components/FilterBar.tsx`</t>
      </text>
    </comment>
    <comment ref="D27" authorId="0" shapeId="0">
      <text>
        <t>Task 1:
Buat method controller riwayat perubahan termin
Path:
`app/Http/Controllers/FundingLogController.php`
Method:
`index()`</t>
      </text>
    </comment>
    <comment ref="E27" authorId="0" shapeId="0">
      <text>
        <t>Task 2:
Buat view log perubahan dana / termin
Path:
`resources/js/pages/Finance/Funding/Logs.tsx`</t>
      </text>
    </comment>
    <comment ref="F27" authorId="0" shapeId="0">
      <text>
        <t>Task 3:
Buat method cetak kwitansi termin ke PDF
Path:
`app/Http/Controllers/FundingController.php`
Method:
`printKwitansi()`</t>
      </text>
    </comment>
    <comment ref="G27" authorId="0" shapeId="0">
      <text>
        <t>Task 4:
Buat view desain kwitansi print out
Path:
`resources/views/print/kwitansi.blade.php`</t>
      </text>
    </comment>
    <comment ref="D28" authorId="0" shapeId="0">
      <text>
        <t>Task 1:
Buat API Endpoint sisa anggaran (untuk chart dashboard)
Path:
`app/Http/Controllers/Api/BudgetController.php`
Method:
`getStats()`</t>
      </text>
    </comment>
    <comment ref="E28" authorId="0" shapeId="0">
      <text>
        <t>Task 2:
Buat method controller sync data bank Dosen
Path:
`app/Http/Controllers/UserBankController.php`
Method:
`update()`</t>
      </text>
    </comment>
    <comment ref="F28" authorId="0" shapeId="0">
      <text>
        <t>Task 3:
Buat view form edit rekening bank Dosen
Path:
`resources/js/pages/Profile/BankForm.tsx`</t>
      </text>
    </comment>
    <comment ref="G28" authorId="0" shapeId="0">
      <text>
        <t>Task 4:
Buat helper format mata uang Rupiah (TS/JS)
Path:
`resources/js/utils/currency.ts`
Method:
`formatRp()`</t>
      </text>
    </comment>
    <comment ref="D29" authorId="0" shapeId="0">
      <text>
        <t>Task 1:
Buat Entitas Data (Migration, Model, Relasi) ProgressReport &amp; Evaluation
Path:
`app/Models/ProgressReport.php` dll</t>
      </text>
    </comment>
    <comment ref="E29" authorId="0" shapeId="0">
      <text>
        <t>Task 2:
Buat method controller index laporan kemajuan
Path:
`app/Http/Controllers/ProgressController.php`
Method:
`index()`</t>
      </text>
    </comment>
    <comment ref="F29" authorId="0" shapeId="0">
      <text>
        <t>Task 3:
Buat view daftar laporan kemajuan (User Dosen)
Path:
`resources/js/pages/Progress/Index.tsx`</t>
      </text>
    </comment>
    <comment ref="D30" authorId="0" shapeId="0">
      <text>
        <t>Task 1:
Buat method controller create laporan kemajuan
Path:
`app/Http/Controllers/ProgressController.php`
Method:
`store()`</t>
      </text>
    </comment>
    <comment ref="E30" authorId="0" shapeId="0">
      <text>
        <t>Task 2:
Buat view form upload laporan kemajuan (Dosen)
Path:
`resources/js/pages/Progress/Create.tsx`</t>
      </text>
    </comment>
    <comment ref="F30" authorId="0" shapeId="0">
      <text>
        <t>Task 3:
Buat method controller upload dokumen logbook
Path:
`app/Http/Controllers/ProgressDocController.php`
Method:
`upload()`</t>
      </text>
    </comment>
    <comment ref="G30" authorId="0" shapeId="0">
      <text>
        <t>Task 4:
Buat komponen textarea logbook wysiwyg
Path:
`resources/js/components/RichTextEditor.tsx`</t>
      </text>
    </comment>
    <comment ref="D31" authorId="0" shapeId="0">
      <text>
        <t>Task 1:
Buat method controller index evaluasi (Reviewer)
Path:
`app/Http/Controllers/EvaluationController.php`
Method:
`index()`</t>
      </text>
    </comment>
    <comment ref="E31" authorId="0" shapeId="0">
      <text>
        <t>Task 2:
Buat view daftar proposal yang perlu dievaluasi
Path:
`resources/js/pages/Reviewer/Evaluation/Index.tsx`</t>
      </text>
    </comment>
    <comment ref="F31" authorId="0" shapeId="0">
      <text>
        <t>Task 3:
Buat method controller lihat detail laporan dosen
Path:
`app/Http/Controllers/EvaluationController.php`
Method:
`showProgress()`</t>
      </text>
    </comment>
    <comment ref="G31" authorId="0" shapeId="0">
      <text>
        <t>Task 4:
Buat view baca detail laporan kemajuan
Path:
`resources/js/pages/Reviewer/Evaluation/Show.tsx`</t>
      </text>
    </comment>
    <comment ref="D32" authorId="0" shapeId="0">
      <text>
        <t>Task 1:
Buat method controller submit catatan evaluasi
Path:
`app/Http/Controllers/EvaluationController.php`
Method:
`storeNote()`</t>
      </text>
    </comment>
    <comment ref="E32" authorId="0" shapeId="0">
      <text>
        <t>Task 2:
Buat view form input catatan evaluasi reviewer
Path:
`resources/js/pages/Reviewer/Evaluation/Note.tsx`</t>
      </text>
    </comment>
    <comment ref="F32" authorId="0" shapeId="0">
      <text>
        <t>Task 3:
Buat method controller update status monev
Path:
`app/Http/Controllers/EvaluationController.php`
Method:
`updateStatus()`</t>
      </text>
    </comment>
    <comment ref="G32" authorId="0" shapeId="0">
      <text>
        <t>Task 4:
Buat komponen Timeline progress React
Path:
`resources/js/components/ProgressTimeline.tsx`</t>
      </text>
    </comment>
    <comment ref="D33" authorId="0" shapeId="0">
      <text>
        <t>Task 1:
Buat Entitas Data (Migration, Model, Relasi) MonevSchedule
Path:
`app/Models/MonevSchedule.php` dll</t>
      </text>
    </comment>
    <comment ref="E33" authorId="0" shapeId="0">
      <text>
        <t>Task 2:
Buat method controller atur jadwal Monev (Admin)
Path:
`app/Http/Controllers/Admin/MonevScheduleCtrl.php`
Method:
`store()`</t>
      </text>
    </comment>
    <comment ref="F33" authorId="0" shapeId="0">
      <text>
        <t>Task 3:
Buat view manajemen jadwal Monev
Path:
`resources/js/pages/Admin/Monev/Schedule.tsx`</t>
      </text>
    </comment>
    <comment ref="G33" authorId="0" shapeId="0">
      <text>
        <t>Task 4:
Buat logic controller filter laporan belum di-review
Path:
`app/Http/Controllers/Admin/MonevScheduleCtrl.php`
Method:
`pending()`</t>
      </text>
    </comment>
    <comment ref="D34" authorId="0" shapeId="0">
      <text>
        <t>Task 1:
Buat method controller rekap monev keseluruhan
Path:
`app/Http/Controllers/Admin/MonevReportCtrl.php`
Method:
`index()`</t>
      </text>
    </comment>
    <comment ref="E34" authorId="0" shapeId="0">
      <text>
        <t>Task 2:
Buat view tabel rekap status progres penelitian
Path:
`resources/js/pages/Admin/Monev/Report.tsx`</t>
      </text>
    </comment>
    <comment ref="F34" authorId="0" shapeId="0">
      <text>
        <t>Task 3:
Buat method ubah status penelitian (Lanjut/Stop)
Path:
`app/Http/Controllers/Admin/MonevReportCtrl.php`
Method:
`decideAction()`</t>
      </text>
    </comment>
    <comment ref="G34" authorId="0" shapeId="0">
      <text>
        <t>Task 4:
Buat komponen Alert peringatan keterlambatan laporan
Path:
`resources/js/components/AlertWarning.tsx`</t>
      </text>
    </comment>
    <comment ref="D35" authorId="0" shapeId="0">
      <text>
        <t>Task 1:
Buat method cetak PDF rekap evaluasi monev
Path:
`app/Http/Controllers/MonevDocumentCtrl.php`
Method:
`printRekap()`</t>
      </text>
    </comment>
    <comment ref="E35" authorId="0" shapeId="0">
      <text>
        <t>Task 2:
Buat layout view untuk print evaluasi
Path:
`resources/views/print/evaluasi.blade.php`</t>
      </text>
    </comment>
    <comment ref="F35" authorId="0" shapeId="0">
      <text>
        <t>Task 3:
Buat method API get data grafik timeline progres
Path:
`app/Http/Controllers/Api/TimelineController.php`
Method:
`getChart()`</t>
      </text>
    </comment>
    <comment ref="G35" authorId="0" shapeId="0">
      <text>
        <t>Task 4:
Buat komponen ProgressBar React (Persentase)
Path:
`resources/js/components/ProgressBar.tsx`</t>
      </text>
    </comment>
    <comment ref="D36" authorId="0" shapeId="0">
      <text>
        <t>Task 1:
Buat method controller sistem pengingat (Reminder)
Path:
`app/Console/Commands/SendMonevReminder.php`
Method:
`handle()`</t>
      </text>
    </comment>
    <comment ref="E36" authorId="0" shapeId="0">
      <text>
        <t>Task 2:
Buat layout email template notifikasi (Blade)
Path:
`resources/views/emails/monev_reminder.blade.php`</t>
      </text>
    </comment>
    <comment ref="F36" authorId="0" shapeId="0">
      <text>
        <t>Task 3:
Buat controller send manual reminder oleh Admin
Path:
`app/Http/Controllers/Admin/ReminderCtrl.php`
Method:
`send()`</t>
      </text>
    </comment>
    <comment ref="G36" authorId="0" shapeId="0">
      <text>
        <t>Task 4:
Buat tombol "Kirim Pengingat" di view Admin
Path:
`resources/js/pages/Admin/Monev/RemindBtn.tsx`</t>
      </text>
    </comment>
    <comment ref="D37" authorId="0" shapeId="0">
      <text>
        <t>Task 1:
Buat Entitas Data (Migration, Model, Relasi) ResearchOutput (Polymorphic)
Path:
`app/Models/ResearchOutput.php` dll</t>
      </text>
    </comment>
    <comment ref="E37" authorId="0" shapeId="0">
      <text>
        <t>Task 2:
Buat method controller index luaran dosen
Path:
`app/Http/Controllers/OutputController.php`
Method:
`index()`</t>
      </text>
    </comment>
    <comment ref="F37" authorId="0" shapeId="0">
      <text>
        <t>Task 3:
Buat view daftar luaran yang sudah disubmit user
Path:
`resources/js/pages/Output/Index.tsx`</t>
      </text>
    </comment>
    <comment ref="D38" authorId="0" shapeId="0">
      <text>
        <t>Task 1:
Buat method controller form create luaran
Path:
`app/Http/Controllers/OutputController.php`
Method:
`create()`</t>
      </text>
    </comment>
    <comment ref="E38" authorId="0" shapeId="0">
      <text>
        <t>Task 2:
Buat view form utama tambah luaran (Pilih Jenis)
Path:
`resources/js/pages/Output/Create.tsx`</t>
      </text>
    </comment>
    <comment ref="F38" authorId="0" shapeId="0">
      <text>
        <t>Task 3:
Buat method controller store luaran publikasi ilmiah
Path:
`app/Http/Controllers/OutputController.php`
Method:
`storeJournal()`</t>
      </text>
    </comment>
    <comment ref="G38" authorId="0" shapeId="0">
      <text>
        <t>Task 4:
Buat sub-form React khusus Publikasi Jurnal (Input DOI)
Path:
`resources/js/components/Forms/JournalForm.tsx`</t>
      </text>
    </comment>
    <comment ref="D39" authorId="0" shapeId="0">
      <text>
        <t>Task 1:
Buat method controller store luaran HKI/Paten
Path:
`app/Http/Controllers/OutputController.php`
Method:
`storeHKI()`</t>
      </text>
    </comment>
    <comment ref="E39" authorId="0" shapeId="0">
      <text>
        <t>Task 2:
Buat sub-form React khusus HKI/Paten (Input No.Paten)
Path:
`resources/js/components/Forms/HkiForm.tsx`</t>
      </text>
    </comment>
    <comment ref="F39" authorId="0" shapeId="0">
      <text>
        <t>Task 3:
Buat method controller store luaran Buku/Modul
Path:
`app/Http/Controllers/OutputController.php`
Method:
`storeBook()`</t>
      </text>
    </comment>
    <comment ref="G39" authorId="0" shapeId="0">
      <text>
        <t>Task 4:
Buat sub-form React khusus Buku (Input ISBN)
Path:
`resources/js/components/Forms/BookForm.tsx`</t>
      </text>
    </comment>
    <comment ref="D40" authorId="0" shapeId="0">
      <text>
        <t>Task 1:
Buat method controller store luaran Produk/Prototipe
Path:
`app/Http/Controllers/OutputController.php`
Method:
`storeProduct()`</t>
      </text>
    </comment>
    <comment ref="E40" authorId="0" shapeId="0">
      <text>
        <t>Task 2:
Buat sub-form React khusus Produk/Prototipe
Path:
`resources/js/components/Forms/ProductForm.tsx`</t>
      </text>
    </comment>
    <comment ref="F40" authorId="0" shapeId="0">
      <text>
        <t>Task 3:
Buat method upload cover/dokumen bukti luaran
Path:
`app/Http/Controllers/OutputDocController.php`
Method:
`upload()`</t>
      </text>
    </comment>
    <comment ref="G40" authorId="0" shapeId="0">
      <text>
        <t>Task 4:
Buat komponen Image/Document Previewer React
Path:
`resources/js/components/FilePreview.tsx`</t>
      </text>
    </comment>
    <comment ref="D41" authorId="0" shapeId="0">
      <text>
        <t>Task 1:
Buat method controller hapus luaran
Path:
`app/Http/Controllers/OutputController.php`
Method:
`destroy()`</t>
      </text>
    </comment>
    <comment ref="E41" authorId="0" shapeId="0">
      <text>
        <t>Task 2:
Buat method controller edit luaran
Path:
`app/Http/Controllers/OutputController.php`
Method:
`edit()`, `update()`</t>
      </text>
    </comment>
    <comment ref="F41" authorId="0" shapeId="0">
      <text>
        <t>Task 3:
Buat view form edit luaran dinamis
Path:
`resources/js/pages/Output/Edit.tsx`</t>
      </text>
    </comment>
    <comment ref="G41" authorId="0" shapeId="0">
      <text>
        <t>Task 4:
Buat logika helper TS pemilih jenis komponen
Path:
`resources/js/utils/OutputFormSelector.ts`</t>
      </text>
    </comment>
    <comment ref="D42" authorId="0" shapeId="0">
      <text>
        <t>Task 1:
Buat method controller index verifikasi luaran (Admin)
Path:
`app/Http/Controllers/Admin/OutputVerifyCtrl.php`
Method:
`index()`</t>
      </text>
    </comment>
    <comment ref="E42" authorId="0" shapeId="0">
      <text>
        <t>Task 2:
Buat view daftar luaran menunggu verifikasi admin
Path:
`resources/js/pages/Admin/Output/Index.tsx`</t>
      </text>
    </comment>
    <comment ref="F42" authorId="0" shapeId="0">
      <text>
        <t>Task 3:
Buat method controller approve/reject luaran
Path:
`app/Http/Controllers/Admin/OutputVerifyCtrl.php`
Method:
`verify()`</t>
      </text>
    </comment>
    <comment ref="G42" authorId="0" shapeId="0">
      <text>
        <t>Task 4:
Buat komponen tombol Verifikasi &amp; Catatan Tolak
Path:
`resources/js/components/VerifyModal.tsx`</t>
      </text>
    </comment>
    <comment ref="D43" authorId="0" shapeId="0">
      <text>
        <t>Task 1:
Buat method API get total luaran per kategori
Path:
`app/Http/Controllers/Api/OutputStatsCtrl.php`
Method:
`getCategory()`</t>
      </text>
    </comment>
    <comment ref="E43" authorId="0" shapeId="0">
      <text>
        <t>Task 2:
Buat method API get total luaran per tahun
Path:
`app/Http/Controllers/Api/OutputStatsCtrl.php`
Method:
`getYearly()`</t>
      </text>
    </comment>
    <comment ref="F43" authorId="0" shapeId="0">
      <text>
        <t>Task 3:
Buat view rekap luaran bentuk List untuk Cetak
Path:
`resources/js/pages/Admin/Output/Report.tsx`</t>
      </text>
    </comment>
    <comment ref="G43" authorId="0" shapeId="0">
      <text>
        <t>Task 4:
Buat cetak laporan luaran universitas format Excel
Path:
`app/Exports/OutputsExport.php` (Laravel Excel)
Method:
`collection()`</t>
      </text>
    </comment>
    <comment ref="D44" authorId="0" shapeId="0">
      <text>
        <t>Task 1:
Buat controller sync sitasi Dosen (Integrasi eksternal)
Path:
`app/Http/Controllers/CitationController.php`
Method:
`sync()`</t>
      </text>
    </comment>
    <comment ref="E44" authorId="0" shapeId="0">
      <text>
        <t>Task 2:
Buat Entitas Data (Migration, Model, Relasi) Citation
Path:
`app/Models/Citation.php` dll</t>
      </text>
    </comment>
    <comment ref="F44" authorId="0" shapeId="0">
      <text>
        <t>Task 3:
Buat view statistik sitasi &amp; h-index Dosen
Path:
`resources/js/pages/Profile/Citation.tsx`</t>
      </text>
    </comment>
    <comment ref="G44" authorId="0" shapeId="0">
      <text>
        <t>Task 4:
Buat service fetch API eksternal (Google Scholar) dummy
Path:
`app/Services/ScholarService.php`
Method:
`fetch()`</t>
      </text>
    </comment>
    <comment ref="D45" authorId="0" shapeId="0">
      <text>
        <t>Task 1:
Buat method controller show detail luaran publik
Path:
`app/Http/Controllers/PublicOutputController.php`
Method:
`show()`</t>
      </text>
    </comment>
    <comment ref="E45" authorId="0" shapeId="0">
      <text>
        <t>Task 2:
Buat view halaman landing page detail luaran (Public)
Path:
`resources/js/pages/Public/OutputShow.tsx`</t>
      </text>
    </comment>
    <comment ref="F45" authorId="0" shapeId="0">
      <text>
        <t>Task 3:
Buat search engine simple untuk list luaran
Path:
`app/Http/Controllers/PublicOutputController.php`
Method:
`search()`</t>
      </text>
    </comment>
    <comment ref="G45" authorId="0" shapeId="0">
      <text>
        <t>Task 4:
Buat komponen SearchBar Global di React Navbar
Path:
`resources/js/components/GlobalSearch.tsx`</t>
      </text>
    </comment>
    <comment ref="D46" authorId="0" shapeId="0">
      <text>
        <t>Task 1:
Buat method agregasi total proposal (Masuk/Lolos/Gagal)
Path:
`app/Http/Controllers/DashboardController.php`
Method:
`getProposalStat()`</t>
      </text>
    </comment>
    <comment ref="E46" authorId="0" shapeId="0">
      <text>
        <t>Task 2:
Buat view Dashboard Dosen (Personal Summary)
Path:
`resources/js/pages/Dashboard/User.tsx`</t>
      </text>
    </comment>
    <comment ref="F46" authorId="0" shapeId="0">
      <text>
        <t>Task 3:
Buat komponen Card Widget Angka (Total, Dana, dll)
Path:
`resources/js/components/StatsCard.tsx`</t>
      </text>
    </comment>
    <comment ref="G46" authorId="0" shapeId="0">
      <text>
        <t>Task 4:
Buat method service kalkulasi persentase sukses
Path:
`app/Services/StatsService.php`
Method:
`successRate()`</t>
      </text>
    </comment>
    <comment ref="D47" authorId="0" shapeId="0">
      <text>
        <t>Task 1:
Buat method agregasi data dashboard Admin (Global)
Path:
`app/Http/Controllers/Admin/DashboardCtrl.php`
Method:
`index()`</t>
      </text>
    </comment>
    <comment ref="E47" authorId="0" shapeId="0">
      <text>
        <t>Task 2:
Buat view Dashboard Pimpinan/Admin Kampus
Path:
`resources/js/pages/Dashboard/Admin.tsx`</t>
      </text>
    </comment>
    <comment ref="F47" authorId="0" shapeId="0">
      <text>
        <t>Task 3:
Buat method agregasi pendanaan tahunan (Query Build)
Path:
`app/Http/Controllers/Admin/DashboardCtrl.php`
Method:
`getFundingChart()`</t>
      </text>
    </comment>
    <comment ref="G47" authorId="0" shapeId="0">
      <text>
        <t>Task 4:
Buat komponen Chart Batang (Bar Chart) React
Path:
`resources/js/components/Charts/BarChart.tsx`</t>
      </text>
    </comment>
    <comment ref="D48" authorId="0" shapeId="0">
      <text>
        <t>Task 1:
Buat method agregasi performa Fakultas/Prodi
Path:
`app/Http/Controllers/Admin/DashboardCtrl.php`
Method:
`getFacultyStat()`</t>
      </text>
    </comment>
    <comment ref="E48" authorId="0" shapeId="0">
      <text>
        <t>Task 2:
Buat table rekap performa fakultas di Dashboard Admin
Path:
`resources/js/components/FacultyTable.tsx`</t>
      </text>
    </comment>
    <comment ref="F48" authorId="0" shapeId="0">
      <text>
        <t>Task 3:
Buat komponen Chart Lingkaran (Pie Chart) Kategori
Path:
`resources/js/components/Charts/PieChart.tsx`</t>
      </text>
    </comment>
    <comment ref="G48" authorId="0" shapeId="0">
      <text>
        <t>Task 4:
Buat method controller daftar rekap keseluruhan (Filter)
Path:
`app/Http/Controllers/Admin/ReportController.php`
Method:
`index()`</t>
      </text>
    </comment>
    <comment ref="D49" authorId="0" shapeId="0">
      <text>
        <t>Task 1:
Buat fitur Export Rekap Penelitian ke Excel
Path:
`app/Exports/ResearchReportExport.php`
Method:
`view()`</t>
      </text>
    </comment>
    <comment ref="E49" authorId="0" shapeId="0">
      <text>
        <t>Task 2:
Buat method controller trigger download Excel
Path:
`app/Http/Controllers/Admin/ReportController.php`
Method:
`exportExcel()`</t>
      </text>
    </comment>
    <comment ref="F49" authorId="0" shapeId="0">
      <text>
        <t>Task 3:
Buat view Halaman Custom Report Generator
Path:
`resources/js/pages/Admin/Report/Generator.tsx`</t>
      </text>
    </comment>
    <comment ref="G49" authorId="0" shapeId="0">
      <text>
        <t>Task 4:
Buat dropdown multi-select untuk filter cetak laporan
Path:
`resources/js/components/MultiSelectFilter.tsx`</t>
      </text>
    </comment>
    <comment ref="D50" authorId="0" shapeId="0">
      <text>
        <t>Task 1:
Buat fitur Export Rekap Penelitian ke PDF
Path:
`app/Http/Controllers/Admin/ReportController.php`
Method:
`exportPdf()`</t>
      </text>
    </comment>
    <comment ref="E50" authorId="0" shapeId="0">
      <text>
        <t>Task 2:
Buat view HTML template untuk konversi DOMPDF
Path:
`resources/views/print/laporan_tahunan.blade.php`</t>
      </text>
    </comment>
    <comment ref="F50" authorId="0" shapeId="0">
      <text>
        <t>Task 3:
Buat tombol Export Group di React (Download PDF/XLS)
Path:
`resources/js/components/ExportButtons.tsx`</t>
      </text>
    </comment>
    <comment ref="G50" authorId="0" shapeId="0">
      <text>
        <t>Task 4:
Buat method agregasi status Monev untuk Chart
Path:
`app/Http/Controllers/Admin/DashboardCtrl.php`
Method:
`getMonevStat()`</t>
      </text>
    </comment>
    <comment ref="D51" authorId="0" shapeId="0">
      <text>
        <t>Task 1:
Buat method API get data 5 Penelitian Teraktif
Path:
`app/Http/Controllers/Api/TopResearchCtrl.php`
Method:
`getTop()`</t>
      </text>
    </comment>
    <comment ref="E51" authorId="0" shapeId="0">
      <text>
        <t>Task 2:
Buat komponen Daftar List 5 Penelitian Terbaik (UI)
Path:
`resources/js/components/TopResearchList.tsx`</t>
      </text>
    </comment>
    <comment ref="F51" authorId="0" shapeId="0">
      <text>
        <t>Task 3:
Buat method API get data 5 Dosen Paling Produktif
Path:
`app/Http/Controllers/Api/TopLecturerCtrl.php`
Method:
`getTop()`</t>
      </text>
    </comment>
    <comment ref="G51" authorId="0" shapeId="0">
      <text>
        <t>Task 4:
Buat komponen Daftar List 5 Dosen Produktif (UI)
Path:
`resources/js/components/TopLecturerList.tsx`</t>
      </text>
    </comment>
    <comment ref="D52" authorId="0" shapeId="0">
      <text>
        <t>Task 1:
Buat Entitas Data (Migration, Model, Relasi) SystemLog
Path:
`app/Models/SystemLog.php` dll</t>
      </text>
    </comment>
    <comment ref="E52" authorId="0" shapeId="0">
      <text>
        <t>Task 2:
Buat logic observer/event catat aktivitas ke Log
Path:
`app/Observers/ProposalObserver.php` dsb
Method:
`created()`</t>
      </text>
    </comment>
    <comment ref="F52" authorId="0" shapeId="0">
      <text>
        <t>Task 3:
Buat method controller tampilkan log di Admin Dashboard
Path:
`app/Http/Controllers/Admin/LogController.php`
Method:
`index()`</t>
      </text>
    </comment>
    <comment ref="G52" authorId="0" shapeId="0">
      <text>
        <t>Task 4:
Buat komponen Activity Stream (Timeline kecil UI)
Path:
`resources/js/components/ActivityLog.tsx`</t>
      </text>
    </comment>
    <comment ref="D53" authorId="0" shapeId="0">
      <text>
        <t>Task 1:
Buat konfigurasi routing Dashboard berbeda role
Path:
`routes/web.php` (Grup Admin, Dosen, Keuangan)</t>
      </text>
    </comment>
    <comment ref="E53" authorId="0" shapeId="0">
      <text>
        <t>Task 2:
Buat logic redirect pintar setelah login sesuai Role
Path:
`app/Http/Controllers/Auth/LoginController.php`
Method:
`authenticated()`</t>
      </text>
    </comment>
    <comment ref="F53" authorId="0" shapeId="0">
      <text>
        <t>Task 3:
Buat controller profil sistem (Ubah logo/nama app)
Path:
`app/Http/Controllers/Admin/SettingsCtrl.php`
Method:
`update()`</t>
      </text>
    </comment>
    <comment ref="G53" authorId="0" shapeId="0">
      <text>
        <t>Task 4:
Buat view form Pengaturan Identitas Sistem (Admin)
Path:
`resources/js/pages/Admin/Settings/Index.tsx`</t>
      </text>
    </comment>
    <comment ref="D54" authorId="0" shapeId="0">
      <text>
        <t>Task 1:
Buat helper format tanggal Indonesia (Carbon/JS Date)
Path:
`resources/js/utils/date.ts`
Method:
`formatIndo()`</t>
      </text>
    </comment>
    <comment ref="E54" authorId="0" shapeId="0">
      <text>
        <t>Task 2:
Buat komponen skeleton loading React (saat fetch data)
Path:
`resources/js/components/SkeletonLoader.tsx`</t>
      </text>
    </comment>
    <comment ref="F54" authorId="0" shapeId="0">
      <text>
        <t>Task 3:
Buat view layout halaman Error kustom (404, 403, 500)
Path:
`resources/js/pages/Errors/ErrorPage.tsx`</t>
      </text>
    </comment>
    <comment ref="G54" authorId="0" shapeId="0">
      <text>
        <t>Task 4:
Buat helper validasi akses menu di sidebar React
Path:
`resources/js/utils/permission.ts`
Method:
`canAccess()`</t>
      </text>
    </comment>
  </commentList>
</comments>
</file>

<file path=xl/comments/comment2.xml><?xml version="1.0" encoding="utf-8"?>
<comments xmlns="http://schemas.openxmlformats.org/spreadsheetml/2006/main">
  <authors>
    <author>Panduan RPL 2026</author>
  </authors>
  <commentList>
    <comment ref="D5" authorId="0" shapeId="0">
      <text>
        <t>Task 1:
Buat Entitas Data (Migration, Model, Relasi) UserRole &amp; Journal
Path:
`app/Models/UserRole.php`, `app/Models/Journal.php` dll</t>
      </text>
    </comment>
    <comment ref="E5" authorId="0" shapeId="0">
      <text>
        <t>Task 2:
Buat method controller index manajemen pengguna &amp; peran (Admin)
Path:
`app/Http/Controllers/Admin/UserRoleController.php`
Method:
`index()`</t>
      </text>
    </comment>
    <comment ref="F5" authorId="0" shapeId="0">
      <text>
        <t>Task 3:
Buat view tabel manajemen pengguna &amp; peran (Admin)
Path:
`resources/js/pages/Admin/Users/Index.tsx`</t>
      </text>
    </comment>
    <comment ref="G5" authorId="0" shapeId="0">
      <text>
        <t>Task 4:
Buat logic middleware guard per peran (RBAC)
Path:
`app/Http/Middleware/RoleMiddleware.php`
Method:
`handle()`</t>
      </text>
    </comment>
    <comment ref="D6" authorId="0" shapeId="0">
      <text>
        <t>Task 1:
Buat method controller kirim undangan peran ke pengguna (Admin)
Path:
`app/Http/Controllers/Admin/UserRoleController.php`
Method:
`invite()`</t>
      </text>
    </comment>
    <comment ref="E6" authorId="0" shapeId="0">
      <text>
        <t>Task 2:
Buat view form undangan peran baru (Admin)
Path:
`resources/js/pages/Admin/Users/InviteRole.tsx`</t>
      </text>
    </comment>
    <comment ref="F6" authorId="0" shapeId="0">
      <text>
        <t>Task 3:
Buat method controller accept/decline undangan peran (Pengguna)
Path:
`app/Http/Controllers/RoleInvitationController.php`
Method:
`respond()`</t>
      </text>
    </comment>
    <comment ref="G6" authorId="0" shapeId="0">
      <text>
        <t>Task 4:
Buat komponen RoleBadge (tampil multi-peran satu akun)
Path:
`resources/js/components/RoleBadge.tsx`</t>
      </text>
    </comment>
    <comment ref="D7" authorId="0" shapeId="0">
      <text>
        <t>Task 1:
Buat Entitas Data (Migration, Model, Relasi) AuthorProfile
Path:
`app/Models/AuthorProfile.php` dll</t>
      </text>
    </comment>
    <comment ref="E7" authorId="0" shapeId="0">
      <text>
        <t>Task 2:
Buat method controller tampilkan &amp; simpan profil Author
Path:
`app/Http/Controllers/ProfileController.php`
Method:
`show()`, `update()`</t>
      </text>
    </comment>
    <comment ref="F7" authorId="0" shapeId="0">
      <text>
        <t>Task 3:
Buat view halaman profil Author (edit ORCID, afiliasi, bio)
Path:
`resources/js/pages/Profile/AuthorProfile.tsx`</t>
      </text>
    </comment>
    <comment ref="G7" authorId="0" shapeId="0">
      <text>
        <t>Task 4:
Buat request class validasi UpdateProfileRequest
Path:
`app/Http/Requests/UpdateProfileRequest.php`
Method:
`rules()`</t>
      </text>
    </comment>
    <comment ref="D8" authorId="0" shapeId="0">
      <text>
        <t>Task 1:
Buat Entitas Data (Migration, Model, Relasi) ReviewerProfile
Path:
`app/Models/ReviewerProfile.php` dll</t>
      </text>
    </comment>
    <comment ref="E8" authorId="0" shapeId="0">
      <text>
        <t>Task 2:
Buat method controller tampilkan &amp; simpan profil Reviewer
Path:
`app/Http/Controllers/ReviewerProfileController.php`
Method:
`show()`, `update()`</t>
      </text>
    </comment>
    <comment ref="F8" authorId="0" shapeId="0">
      <text>
        <t>Task 3:
Buat view halaman profil Reviewer (keahlian, track record review)
Path:
`resources/js/pages/Profile/ReviewerProfile.tsx`</t>
      </text>
    </comment>
    <comment ref="G8" authorId="0" shapeId="0">
      <text>
        <t>Task 4:
Buat komponen SkillTagInput (input tag keahlian dinamis)
Path:
`resources/js/components/SkillTagInput.tsx`</t>
      </text>
    </comment>
    <comment ref="D9" authorId="0" shapeId="0">
      <text>
        <t>Task 1:
Buat method controller cabut (revoke) peran pengguna (Admin)
Path:
`app/Http/Controllers/Admin/UserRoleController.php`
Method:
`revoke()`</t>
      </text>
    </comment>
    <comment ref="E9" authorId="0" shapeId="0">
      <text>
        <t>Task 2:
Buat view modal konfirmasi revoke peran
Path:
`resources/js/components/RevokeRoleModal.tsx`</t>
      </text>
    </comment>
    <comment ref="F9" authorId="0" shapeId="0">
      <text>
        <t>Task 3:
Buat method controller registrasi pengguna baru (Author default)
Path:
`app/Http/Controllers/Auth/RegisterController.php`
Method:
`register()`</t>
      </text>
    </comment>
    <comment ref="G9" authorId="0" shapeId="0">
      <text>
        <t>Task 4:
Buat konfigurasi routing &amp; grup middleware per peran di web.php
Path:
`routes/web.php` (grup Author, Editor, Reviewer, dll)</t>
      </text>
    </comment>
    <comment ref="D10" authorId="0" shapeId="0">
      <text>
        <t>Task 1:
Buat Entitas Data (Migration, Model, Relasi) Submission &amp; SubmissionFile
Path:
`app/Models/Submission.php`, `app/Models/SubmissionFile.php` dll</t>
      </text>
    </comment>
    <comment ref="E10" authorId="0" shapeId="0">
      <text>
        <t>Task 2:
Buat method controller index dashboard Author (daftar submission)
Path:
`app/Http/Controllers/SubmissionController.php`
Method:
`index()`</t>
      </text>
    </comment>
    <comment ref="F10" authorId="0" shapeId="0">
      <text>
        <t>Task 3:
Buat view dashboard Author (daftar submission + status badge)
Path:
`resources/js/pages/Submission/Index.tsx`</t>
      </text>
    </comment>
    <comment ref="G10" authorId="0" shapeId="0">
      <text>
        <t>Task 4:
Buat komponen SubmissionStatusBadge (warna per status: Draft/Submitted/InReview/dll)
Path:
`resources/js/components/SubmissionStatusBadge.tsx`</t>
      </text>
    </comment>
    <comment ref="D11" authorId="0" shapeId="0">
      <text>
        <t>Task 1:
Buat method controller Wizard Step 1 (Start: pilih jurnal, persetujuan lisensi)
Path:
`app/Http/Controllers/SubmissionWizardController.php`
Method:
`start()`, `saveStep1()`</t>
      </text>
    </comment>
    <comment ref="E11" authorId="0" shapeId="0">
      <text>
        <t>Task 2:
Buat view Wizard Step 1 (Pemilihan Jurnal &amp; Persetujuan Syarat)
Path:
`resources/js/pages/Submission/Wizard/Step1Start.tsx`</t>
      </text>
    </comment>
    <comment ref="F11" authorId="0" shapeId="0">
      <text>
        <t>Task 3:
Buat method controller Wizard Step 2 (Upload file naskah &amp; file tambahan)
Path:
`app/Http/Controllers/SubmissionWizardController.php`
Method:
`uploadFile()`, `saveStep2()`</t>
      </text>
    </comment>
    <comment ref="G11" authorId="0" shapeId="0">
      <text>
        <t>Task 4:
Buat view Wizard Step 2 (Upload Manuscript utama + Supplementary Files)
Path:
`resources/js/pages/Submission/Wizard/Step2Upload.tsx`</t>
      </text>
    </comment>
    <comment ref="D12" authorId="0" shapeId="0">
      <text>
        <t>Task 1:
Buat method controller Wizard Step 3 (Metadata: Judul, Abstrak, Kata Kunci)
Path:
`app/Http/Controllers/SubmissionWizardController.php`
Method:
`saveStep3()`</t>
      </text>
    </comment>
    <comment ref="E12" authorId="0" shapeId="0">
      <text>
        <t>Task 2:
Buat view Wizard Step 3 (Form input Judul, Abstrak, Kata Kunci, Bahasa)
Path:
`resources/js/pages/Submission/Wizard/Step3Metadata.tsx`</t>
      </text>
    </comment>
    <comment ref="F12" authorId="0" shapeId="0">
      <text>
        <t>Task 3:
Buat komponen KeywordInput (tambah/hapus tag kata kunci dinamis)
Path:
`resources/js/components/KeywordInput.tsx`</t>
      </text>
    </comment>
    <comment ref="G12" authorId="0" shapeId="0">
      <text>
        <t>Task 4:
Buat method controller save draft submission (di semua step)
Path:
`app/Http/Controllers/SubmissionWizardController.php`
Method:
`saveDraft()`</t>
      </text>
    </comment>
    <comment ref="D13" authorId="0" shapeId="0">
      <text>
        <t>Task 1:
Buat Entitas Data (Migration, Model, Relasi) SubmissionContributor
Path:
`app/Models/SubmissionContributor.php` dll</t>
      </text>
    </comment>
    <comment ref="E13" authorId="0" shapeId="0">
      <text>
        <t>Task 2:
Buat method controller Wizard Step 4 (Contributors: data co-author)
Path:
`app/Http/Controllers/SubmissionWizardController.php`
Method:
`saveStep4()`</t>
      </text>
    </comment>
    <comment ref="F13" authorId="0" shapeId="0">
      <text>
        <t>Task 3:
Buat view Wizard Step 4 (Tambah/hapus Co-Author dinamis)
Path:
`resources/js/pages/Submission/Wizard/Step4Contributors.tsx`</t>
      </text>
    </comment>
    <comment ref="G13" authorId="0" shapeId="0">
      <text>
        <t>Task 4:
Buat komponen ContributorForm (form dinamis data co-author per baris)
Path:
`resources/js/components/ContributorForm.tsx`</t>
      </text>
    </comment>
    <comment ref="D14" authorId="0" shapeId="0">
      <text>
        <t>Task 1:
Buat method controller Wizard Step 5 (Confirm &amp; Submit final)
Path:
`app/Http/Controllers/SubmissionWizardController.php`
Method:
`confirm()`, `finalSubmit()`</t>
      </text>
    </comment>
    <comment ref="E14" authorId="0" shapeId="0">
      <text>
        <t>Task 2:
Buat view Wizard Step 5 (Ringkasan semua data + tombol Submit)
Path:
`resources/js/pages/Submission/Wizard/Step5Confirm.tsx`</t>
      </text>
    </comment>
    <comment ref="F14" authorId="0" shapeId="0">
      <text>
        <t>Task 3:
Buat komponen WizardProgressBar (step indicator dengan status tiap langkah)
Path:
`resources/js/components/WizardProgressBar.tsx`</t>
      </text>
    </comment>
    <comment ref="G14" authorId="0" shapeId="0">
      <text>
        <t>Task 4:
Buat request class validasi FinalSubmitRequest
Path:
`app/Http/Requests/FinalSubmitRequest.php`
Method:
`rules()`</t>
      </text>
    </comment>
    <comment ref="D15" authorId="0" shapeId="0">
      <text>
        <t>Task 1:
Buat method controller detail &amp; status tracking submission (sisi Author)
Path:
`app/Http/Controllers/SubmissionController.php`
Method:
`show()`</t>
      </text>
    </comment>
    <comment ref="E15" authorId="0" shapeId="0">
      <text>
        <t>Task 2:
Buat view detail submission Author (riwayat status + dokumen)
Path:
`resources/js/pages/Submission/Show.tsx`</t>
      </text>
    </comment>
    <comment ref="F15" authorId="0" shapeId="0">
      <text>
        <t>Task 3:
Buat method controller batalkan (soft-delete) submission Draft
Path:
`app/Http/Controllers/SubmissionController.php`
Method:
`cancel()`</t>
      </text>
    </comment>
    <comment ref="G15" authorId="0" shapeId="0">
      <text>
        <t>Task 4:
Buat komponen SubmissionTimeline (timeline visual riwayat status)
Path:
`resources/js/components/SubmissionTimeline.tsx`</t>
      </text>
    </comment>
    <comment ref="D16" authorId="0" shapeId="0">
      <text>
        <t>Task 1:
Buat Entitas Data (Migration, Model, Relasi) EditorialAssignment &amp; EditorialDecision
Path:
`app/Models/EditorialAssignment.php`, `app/Models/EditorialDecision.php` dll</t>
      </text>
    </comment>
    <comment ref="E16" authorId="0" shapeId="0">
      <text>
        <t>Task 2:
Buat method controller inbox naskah baru (Editor Dashboard)
Path:
`app/Http/Controllers/Editorial/DeskController.php`
Method:
`inbox()`</t>
      </text>
    </comment>
    <comment ref="F16" authorId="0" shapeId="0">
      <text>
        <t>Task 3:
Buat view inbox Editor (tab: Unassigned / Active / Awaiting Decision / Archived)
Path:
`resources/js/pages/Editorial/Desk/Inbox.tsx`</t>
      </text>
    </comment>
    <comment ref="G16" authorId="0" shapeId="0">
      <text>
        <t>Task 4:
Buat komponen InboxTab (navigasi tab dengan counter naskah per status)
Path:
`resources/js/components/InboxTab.tsx`</t>
      </text>
    </comment>
    <comment ref="D17" authorId="0" shapeId="0">
      <text>
        <t>Task 1:
Buat method controller assign Section Editor ke submission
Path:
`app/Http/Controllers/Editorial/DeskController.php`
Method:
`assignEditor()`</t>
      </text>
    </comment>
    <comment ref="E17" authorId="0" shapeId="0">
      <text>
        <t>Task 2:
Buat view modal penugasan Section Editor
Path:
`resources/js/components/AssignEditorModal.tsx`</t>
      </text>
    </comment>
    <comment ref="F17" authorId="0" shapeId="0">
      <text>
        <t>Task 3:
Buat method controller desk review (AcceptForReview / DeskReject)
Path:
`app/Http/Controllers/Editorial/DecisionController.php`
Method:
`deskReview()`</t>
      </text>
    </comment>
    <comment ref="G17" authorId="0" shapeId="0">
      <text>
        <t>Task 4:
Buat view panel keputusan desk review (form catatan wajib jika reject)
Path:
`resources/js/pages/Editorial/Desk/DeskReview.tsx`</t>
      </text>
    </comment>
    <comment ref="D18" authorId="0" shapeId="0">
      <text>
        <t>Task 1:
Buat method controller detail submission untuk Editor (tampil naskah)
Path:
`app/Http/Controllers/Editorial/DeskController.php`
Method:
`show()`</t>
      </text>
    </comment>
    <comment ref="E18" authorId="0" shapeId="0">
      <text>
        <t>Task 2:
Buat view detail submission Editor (inline PDF viewer + panel riwayat)
Path:
`resources/js/pages/Editorial/Desk/Show.tsx`</t>
      </text>
    </comment>
    <comment ref="F18" authorId="0" shapeId="0">
      <text>
        <t>Task 3:
Buat komponen InlinePdfViewer React (render PDF tanpa download)
Path:
`resources/js/components/InlinePdfViewer.tsx`</t>
      </text>
    </comment>
    <comment ref="G18" authorId="0" shapeId="0">
      <text>
        <t>Task 4:
Buat method controller riwayat semua keputusan per submission
Path:
`app/Http/Controllers/Editorial/DecisionController.php`
Method:
`history()`</t>
      </text>
    </comment>
    <comment ref="D19" authorId="0" shapeId="0">
      <text>
        <t>Task 1:
Buat Entitas Data (Migration, Model, Relasi) PlagiarismCheck
Path:
`app/Models/PlagiarismCheck.php` dll</t>
      </text>
    </comment>
    <comment ref="E19" authorId="0" shapeId="0">
      <text>
        <t>Task 2:
Buat method controller upload laporan cek plagiasi (Editor)
Path:
`app/Http/Controllers/Editorial/PlagiarismController.php`
Method:
`store()`</t>
      </text>
    </comment>
    <comment ref="F19" authorId="0" shapeId="0">
      <text>
        <t>Task 3:
Buat view upload &amp; tampil hasil cek plagiasi
Path:
`resources/js/pages/Editorial/Desk/Plagiarism.tsx`</t>
      </text>
    </comment>
    <comment ref="G19" authorId="0" shapeId="0">
      <text>
        <t>Task 4:
Buat komponen SimilarityBadge (badge warna persentase kemiripan)
Path:
`resources/js/components/SimilarityBadge.tsx`</t>
      </text>
    </comment>
    <comment ref="D20" authorId="0" shapeId="0">
      <text>
        <t>Task 1:
Buat method controller keputusan final Editor (Accept / Reject)
Path:
`app/Http/Controllers/Editorial/DecisionController.php`
Method:
`finalDecision()`</t>
      </text>
    </comment>
    <comment ref="E20" authorId="0" shapeId="0">
      <text>
        <t>Task 2:
Buat view form keputusan final Editor (catatan wajib min. 50 karakter)
Path:
`resources/js/pages/Editorial/Desk/FinalDecision.tsx`</t>
      </text>
    </comment>
    <comment ref="F20" authorId="0" shapeId="0">
      <text>
        <t>Task 3:
Buat request class validasi EditorialDecisionRequest
Path:
`app/Http/Requests/EditorialDecisionRequest.php`
Method:
`rules()`</t>
      </text>
    </comment>
    <comment ref="G20" authorId="0" shapeId="0">
      <text>
        <t>Task 4:
Buat komponen DecisionHistoryPanel (timeline keputusan editorial)
Path:
`resources/js/components/DecisionHistoryPanel.tsx`</t>
      </text>
    </comment>
    <comment ref="D21" authorId="0" shapeId="0">
      <text>
        <t>Task 1:
Buat method controller diskusi internal Editor ↔ Author (per submission)
Path:
`app/Http/Controllers/Editorial/EditorialDiscussionController.php`
Method:
`store()`, `index()`</t>
      </text>
    </comment>
    <comment ref="E21" authorId="0" shapeId="0">
      <text>
        <t>Task 2:
Buat view thread diskusi editorial per submission
Path:
`resources/js/pages/Editorial/Desk/Discussion.tsx`</t>
      </text>
    </comment>
    <comment ref="F21" authorId="0" shapeId="0">
      <text>
        <t>Task 3:
Buat komponen DiscussionThread (UI thread-style: subjek, pesan, reply)
Path:
`resources/js/components/DiscussionThread.tsx`</t>
      </text>
    </comment>
    <comment ref="G21" authorId="0" shapeId="0">
      <text>
        <t>Task 4:
Buat method controller update round tracking submission (ronde ke-N)
Path:
`app/Http/Controllers/Editorial/DeskController.php`
Method:
`updateRound()`</t>
      </text>
    </comment>
    <comment ref="D22" authorId="0" shapeId="0">
      <text>
        <t>Task 1:
Buat Entitas Data (Migration, Model, Relasi) ReviewAssignment &amp; ReviewForm
Path:
`app/Models/ReviewAssignment.php`, `app/Models/ReviewForm.php` dll</t>
      </text>
    </comment>
    <comment ref="E22" authorId="0" shapeId="0">
      <text>
        <t>Task 2:
Buat method controller kirim undangan review ke Reviewer
Path:
`app/Http/Controllers/Review/ReviewAssignmentController.php`
Method:
`invite()`</t>
      </text>
    </comment>
    <comment ref="F22" authorId="0" shapeId="0">
      <text>
        <t>Task 3:
Buat view panel pemilihan kandidat &amp; pengiriman undangan Reviewer
Path:
`resources/js/pages/Review/InviteReviewer.tsx`</t>
      </text>
    </comment>
    <comment ref="G22" authorId="0" shapeId="0">
      <text>
        <t>Task 4:
Buat komponen ReviewerCandidateCard (card profil reviewer + keahlian)
Path:
`resources/js/components/ReviewerCandidateCard.tsx`</t>
      </text>
    </comment>
    <comment ref="D23" authorId="0" shapeId="0">
      <text>
        <t>Task 1:
Buat method controller accept/decline undangan review oleh Reviewer
Path:
`app/Http/Controllers/Review/ReviewAssignmentController.php`
Method:
`respond()`</t>
      </text>
    </comment>
    <comment ref="E23" authorId="0" shapeId="0">
      <text>
        <t>Task 2:
Buat view halaman undangan review (tombol Accept/Decline + alasan penolakan)
Path:
`resources/js/pages/Review/Invitation.tsx`</t>
      </text>
    </comment>
    <comment ref="F23" authorId="0" shapeId="0">
      <text>
        <t>Task 3:
Buat method controller index daftar tugas review aktif (Reviewer Dashboard)
Path:
`app/Http/Controllers/Review/ReviewerDashboardController.php`
Method:
`index()`</t>
      </text>
    </comment>
    <comment ref="G23" authorId="0" shapeId="0">
      <text>
        <t>Task 4:
Buat view dashboard Reviewer (daftar tugas + status + due date countdown)
Path:
`resources/js/pages/Review/Dashboard.tsx`</t>
      </text>
    </comment>
    <comment ref="D24" authorId="0" shapeId="0">
      <text>
        <t>Task 1:
Buat Entitas Data (Migration, Model, Relasi) ReviewDecision
Path:
`app/Models/ReviewDecision.php` dll</t>
      </text>
    </comment>
    <comment ref="E24" authorId="0" shapeId="0">
      <text>
        <t>Task 2:
Buat method controller tampilkan naskah anonim (anonimisasi Double-Blind)
Path:
`app/Http/Controllers/Review/ReviewController.php`
Method:
`showManuscript()`</t>
      </text>
    </comment>
    <comment ref="F24" authorId="0" shapeId="0">
      <text>
        <t>Task 3:
Buat view form penilaian rubrik Reviewer (skor per kriteria, 1–5)
Path:
`resources/js/pages/Review/FormReview.tsx`</t>
      </text>
    </comment>
    <comment ref="G24" authorId="0" shapeId="0">
      <text>
        <t>Task 4:
Buat komponen RubricScoreInput (input skor per kriteria + auto-kalkulasi agregat real-time)
Path:
`resources/js/components/RubricScoreInput.tsx`</t>
      </text>
    </comment>
    <comment ref="D25" authorId="0" shapeId="0">
      <text>
        <t>Task 1:
Buat method controller submit rekomendasi final Reviewer
Path:
`app/Http/Controllers/Review/ReviewController.php`
Method:
`submitRecommendation()`</t>
      </text>
    </comment>
    <comment ref="E25" authorId="0" shapeId="0">
      <text>
        <t>Task 2:
Buat view form rekomendasi akhir (Accept / Minor / Major / Reject + overall comment)
Path:
`resources/js/pages/Review/Recommendation.tsx`</t>
      </text>
    </comment>
    <comment ref="F25" authorId="0" shapeId="0">
      <text>
        <t>Task 3:
Buat method controller save draft penilaian Reviewer (sebelum submit final)
Path:
`app/Http/Controllers/Review/ReviewController.php`
Method:
`saveDraft()`</t>
      </text>
    </comment>
    <comment ref="G25" authorId="0" shapeId="0">
      <text>
        <t>Task 4:
Buat request class validasi ReviewSubmissionRequest
Path:
`app/Http/Requests/ReviewSubmissionRequest.php`
Method:
`rules()`</t>
      </text>
    </comment>
    <comment ref="D26" authorId="0" shapeId="0">
      <text>
        <t>Task 1:
Buat method controller rekap hasil review multi-reviewer untuk Editor
Path:
`app/Http/Controllers/Review/ReviewSummaryController.php`
Method:
`index()`</t>
      </text>
    </comment>
    <comment ref="E26" authorId="0" shapeId="0">
      <text>
        <t>Task 2:
Buat view matriks perbandingan rekomendasi multi-reviewer (side-by-side)
Path:
`resources/js/pages/Review/Summary.tsx`</t>
      </text>
    </comment>
    <comment ref="F26" authorId="0" shapeId="0">
      <text>
        <t>Task 3:
Buat komponen ReviewMatrixTable (tabel perbandingan skor + rekomendasi antar reviewer)
Path:
`resources/js/components/ReviewMatrixTable.tsx`</t>
      </text>
    </comment>
    <comment ref="G26" authorId="0" shapeId="0">
      <text>
        <t>Task 4:
Buat method controller perpanjang due date undangan review
Path:
`app/Http/Controllers/Review/ReviewAssignmentController.php`
Method:
`extendDue()`</t>
      </text>
    </comment>
    <comment ref="D27" authorId="0" shapeId="0">
      <text>
        <t>Task 1:
Buat method controller batalkan undangan review (Cancel jika tidak merespons)
Path:
`app/Http/Controllers/Review/ReviewAssignmentController.php`
Method:
`cancel()`</t>
      </text>
    </comment>
    <comment ref="E27" authorId="0" shapeId="0">
      <text>
        <t>Task 2:
Buat view modal konfirmasi pembatalan undangan review
Path:
`resources/js/components/CancelReviewModal.tsx`</t>
      </text>
    </comment>
    <comment ref="F27" authorId="0" shapeId="0">
      <text>
        <t>Task 3:
Buat logic service anonimisasi dokumen untuk Double-Blind Review
Path:
`app/Services/AnonymizeService.php`
Method:
`anonymize()`</t>
      </text>
    </comment>
    <comment ref="G27" authorId="0" shapeId="0">
      <text>
        <t>Task 4:
Buat komponen ReviewRoundBadge (tampil badge putaran review ke-N)
Path:
`resources/js/components/ReviewRoundBadge.tsx`</t>
      </text>
    </comment>
    <comment ref="D28" authorId="0" shapeId="0">
      <text>
        <t>Task 1:
Buat Entitas Data (Migration, Model, Relasi) RevisionRound &amp; CopyeditingTask
Path:
`app/Models/RevisionRound.php`, `app/Models/CopyeditingTask.php` dll</t>
      </text>
    </comment>
    <comment ref="E28" authorId="0" shapeId="0">
      <text>
        <t>Task 2:
Buat method controller kirim notifikasi hasil keputusan ke Author
Path:
`app/Http/Controllers/Revision/RevisionController.php`
Method:
`notifyAuthor()`</t>
      </text>
    </comment>
    <comment ref="F28" authorId="0" shapeId="0">
      <text>
        <t>Task 3:
Buat view panel revisi Author (catatan Editor dari Reviewer + form upload)
Path:
`resources/js/pages/Revision/AuthorRevision.tsx`</t>
      </text>
    </comment>
    <comment ref="G28" authorId="0" shapeId="0">
      <text>
        <t>Task 4:
Buat komponen RevisionNotePanel (tampil catatan revisi dari Editor)
Path:
`resources/js/components/RevisionNotePanel.tsx`</t>
      </text>
    </comment>
    <comment ref="D29" authorId="0" shapeId="0">
      <text>
        <t>Task 1:
Buat method controller upload file revisi oleh Author
Path:
`app/Http/Controllers/Revision/RevisionController.php`
Method:
`uploadRevision()`</t>
      </text>
    </comment>
    <comment ref="E29" authorId="0" shapeId="0">
      <text>
        <t>Task 2:
Buat view form upload file revisi + tombol submit revisi
Path:
`resources/js/pages/Revision/UploadRevision.tsx`</t>
      </text>
    </comment>
    <comment ref="F29" authorId="0" shapeId="0">
      <text>
        <t>Task 3:
Buat method controller versioning dokumen (histori file semua ronde)
Path:
`app/Http/Controllers/Revision/RevisionController.php`
Method:
`versionHistory()`</t>
      </text>
    </comment>
    <comment ref="G29" authorId="0" shapeId="0">
      <text>
        <t>Task 4:
Buat komponen DocumentVersionList (daftar versi file berlabel per ronde)
Path:
`resources/js/components/DocumentVersionList.tsx`</t>
      </text>
    </comment>
    <comment ref="D30" authorId="0" shapeId="0">
      <text>
        <t>Task 1:
Buat method controller review revisi oleh Editor (Accept / Kembali ke Review / Minta Revisi Lagi)
Path:
`app/Http/Controllers/Revision/EditorRevisionController.php`
Method:
`decide()`</t>
      </text>
    </comment>
    <comment ref="E30" authorId="0" shapeId="0">
      <text>
        <t>Task 2:
Buat view panel keputusan Editor setelah revisi masuk
Path:
`resources/js/pages/Revision/EditorDecision.tsx`</t>
      </text>
    </comment>
    <comment ref="F30" authorId="0" shapeId="0">
      <text>
        <t>Task 3:
Buat method controller assign Copyeditor ke submission (setelah Accept)
Path:
`app/Http/Controllers/Copyediting/CopyeditingController.php`
Method:
`assign()`</t>
      </text>
    </comment>
    <comment ref="G30" authorId="0" shapeId="0">
      <text>
        <t>Task 4:
Buat view panel penugasan Copyeditor (Admin/Editor)
Path:
`resources/js/pages/Copyediting/Assign.tsx`</t>
      </text>
    </comment>
    <comment ref="D31" authorId="0" shapeId="0">
      <text>
        <t>Task 1:
Buat method controller upload file yang sudah di-copyedit (Copyeditor)
Path:
`app/Http/Controllers/Copyediting/CopyeditingController.php`
Method:
`uploadCopyedited()`</t>
      </text>
    </comment>
    <comment ref="E31" authorId="0" shapeId="0">
      <text>
        <t>Task 2:
Buat view panel tiga kolom Copyeditor (File Original | File Copyedited | Catatan)
Path:
`resources/js/pages/Copyediting/CopyeditorPanel.tsx`</t>
      </text>
    </comment>
    <comment ref="F31" authorId="0" shapeId="0">
      <text>
        <t>Task 3:
Buat method controller persetujuan Author atas hasil copyediting
Path:
`app/Http/Controllers/Copyediting/CopyeditingController.php`
Method:
`authorApprove()`</t>
      </text>
    </comment>
    <comment ref="G31" authorId="0" shapeId="0">
      <text>
        <t>Task 4:
Buat view konfirmasi persetujuan Author (sebelum masuk tahap Production)
Path:
`resources/js/pages/Copyediting/AuthorApproval.tsx`</t>
      </text>
    </comment>
    <comment ref="D32" authorId="0" shapeId="0">
      <text>
        <t>Task 1:
Buat Entitas Data (Migration, Model, Relasi) SubmissionDiscussion &amp; DiscussionMessage
Path:
`app/Models/SubmissionDiscussion.php`, `app/Models/DiscussionMessage.php` dll</t>
      </text>
    </comment>
    <comment ref="E32" authorId="0" shapeId="0">
      <text>
        <t>Task 2:
Buat method controller buat thread diskusi baru (per stage: Editorial, Copyediting, dll)
Path:
`app/Http/Controllers/DiscussionController.php`
Method:
`store()`</t>
      </text>
    </comment>
    <comment ref="F32" authorId="0" shapeId="0">
      <text>
        <t>Task 3:
Buat view thread diskusi (Subject + Pesan + Attachment + Reply)
Path:
`resources/js/pages/Discussion/Thread.tsx`</t>
      </text>
    </comment>
    <comment ref="G32" authorId="0" shapeId="0">
      <text>
        <t>Task 4:
Buat komponen MessageBubble (UI pesan diskusi per pengirim + attachment link)
Path:
`resources/js/components/MessageBubble.tsx`</t>
      </text>
    </comment>
    <comment ref="D33" authorId="0" shapeId="0">
      <text>
        <t>Task 1:
Buat method controller balas pesan dalam thread diskusi
Path:
`app/Http/Controllers/DiscussionController.php`
Method:
`reply()`</t>
      </text>
    </comment>
    <comment ref="E33" authorId="0" shapeId="0">
      <text>
        <t>Task 2:
Buat method controller upload attachment di dalam diskusi
Path:
`app/Http/Controllers/DiscussionController.php`
Method:
`uploadAttachment()`</t>
      </text>
    </comment>
    <comment ref="F33" authorId="0" shapeId="0">
      <text>
        <t>Task 3:
Buat view daftar semua thread diskusi per submission
Path:
`resources/js/pages/Discussion/Index.tsx`</t>
      </text>
    </comment>
    <comment ref="G33" authorId="0" shapeId="0">
      <text>
        <t>Task 4:
Buat request class validasi StoreDiscussionRequest
Path:
`app/Http/Requests/StoreDiscussionRequest.php`
Method:
`rules()`</t>
      </text>
    </comment>
    <comment ref="D34" authorId="0" shapeId="0">
      <text>
        <t>Task 1:
Buat Entitas Data (Migration, Model, Relasi) Issue &amp; Galley
Path:
`app/Models/Issue.php`, `app/Models/Galley.php` dll</t>
      </text>
    </comment>
    <comment ref="E34" authorId="0" shapeId="0">
      <text>
        <t>Task 2:
Buat method controller index daftar Issue (Draft &amp; Published)
Path:
`app/Http/Controllers/Production/IssueController.php`
Method:
`index()`</t>
      </text>
    </comment>
    <comment ref="F34" authorId="0" shapeId="0">
      <text>
        <t>Task 3:
Buat view daftar Issue (tabel dengan filter Draft/Published)
Path:
`resources/js/pages/Production/Issue/Index.tsx`</t>
      </text>
    </comment>
    <comment ref="G34" authorId="0" shapeId="0">
      <text>
        <t>Task 4:
Buat method controller buat Issue baru
Path:
`app/Http/Controllers/Production/IssueController.php`
Method:
`store()`</t>
      </text>
    </comment>
    <comment ref="D35" authorId="0" shapeId="0">
      <text>
        <t>Task 1:
Buat view form buat Issue baru (Volume, Nomor, Tahun, Judul tematik, Deskripsi)
Path:
`resources/js/pages/Production/Issue/Create.tsx`</t>
      </text>
    </comment>
    <comment ref="E35" authorId="0" shapeId="0">
      <text>
        <t>Task 2:
Buat method controller edit metadata Issue
Path:
`app/Http/Controllers/Production/IssueController.php`
Method:
`update()`</t>
      </text>
    </comment>
    <comment ref="F35" authorId="0" shapeId="0">
      <text>
        <t>Task 3:
Buat view form edit Issue
Path:
`resources/js/pages/Production/Issue/Edit.tsx`</t>
      </text>
    </comment>
    <comment ref="G35" authorId="0" shapeId="0">
      <text>
        <t>Task 4:
Buat request class validasi StoreIssueRequest (termasuk uniqueness Volume+Nomor+Tahun)
Path:
`app/Http/Requests/StoreIssueRequest.php`
Method:
`rules()`</t>
      </text>
    </comment>
    <comment ref="D36" authorId="0" shapeId="0">
      <text>
        <t>Task 1:
Buat method controller upload Galley file (PDF / HTML / XML) per artikel
Path:
`app/Http/Controllers/Production/GalleyController.php`
Method:
`store()`</t>
      </text>
    </comment>
    <comment ref="E36" authorId="0" shapeId="0">
      <text>
        <t>Task 2:
Buat view manajemen Galley per artikel (daftar + upload + label)
Path:
`resources/js/pages/Production/Galley/Manage.tsx`</t>
      </text>
    </comment>
    <comment ref="F36" authorId="0" shapeId="0">
      <text>
        <t>Task 3:
Buat method controller jadwalkan artikel ke sebuah Issue
Path:
`app/Http/Controllers/Production/GalleyController.php`
Method:
`assignToIssue()`</t>
      </text>
    </comment>
    <comment ref="G36" authorId="0" shapeId="0">
      <text>
        <t>Task 4:
Buat komponen ArticleSequencer (drag-and-drop urutan artikel dalam Issue)
Path:
`resources/js/components/ArticleSequencer.tsx`</t>
      </text>
    </comment>
    <comment ref="D37" authorId="0" shapeId="0">
      <text>
        <t>Task 1:
Buat method controller publish Issue (semua artikel Published serentak)
Path:
`app/Http/Controllers/Production/IssueController.php`
Method:
`publish()`</t>
      </text>
    </comment>
    <comment ref="E37" authorId="0" shapeId="0">
      <text>
        <t>Task 2:
Buat view preview Issue sebelum publish (Table of Contents publik)
Path:
`resources/js/pages/Production/Issue/Preview.tsx`</t>
      </text>
    </comment>
    <comment ref="F37" authorId="0" shapeId="0">
      <text>
        <t>Task 3:
Buat komponen PublishChecklist (dialog konfirmasi + checklist sebelum publish)
Path:
`resources/js/components/PublishChecklist.tsx`</t>
      </text>
    </comment>
    <comment ref="G37" authorId="0" shapeId="0">
      <text>
        <t>Task 4:
Buat method controller kelola Back Issues (arsip terbitan yang sudah terbit)
Path:
`app/Http/Controllers/Production/IssueController.php`
Method:
`archive()`</t>
      </text>
    </comment>
    <comment ref="D38" authorId="0" shapeId="0">
      <text>
        <t>Task 1:
Buat method controller set nomor halaman &amp; DOI per artikel dalam Issue
Path:
`app/Http/Controllers/Production/GalleyController.php`
Method:
`updateMeta()`</t>
      </text>
    </comment>
    <comment ref="E38" authorId="0" shapeId="0">
      <text>
        <t>Task 2:
Buat view form penetapan halaman (from–to) &amp; DOI artikel
Path:
`resources/js/pages/Production/Galley/SetMeta.tsx`</t>
      </text>
    </comment>
    <comment ref="F38" authorId="0" shapeId="0">
      <text>
        <t>Task 3:
Buat method controller hapus Issue Draft (hanya jika belum ada artikel)
Path:
`app/Http/Controllers/Production/IssueController.php`
Method:
`destroy()`</t>
      </text>
    </comment>
    <comment ref="G38" authorId="0" shapeId="0">
      <text>
        <t>Task 4:
Buat komponen IssueCard (card tampilan ringkasan Issue di daftar)
Path:
`resources/js/components/IssueCard.tsx`</t>
      </text>
    </comment>
    <comment ref="D39" authorId="0" shapeId="0">
      <text>
        <t>Task 1:
Buat method controller antrian artikel siap terbit (Production Queue)
Path:
`app/Http/Controllers/Production/ProductionQueueController.php`
Method:
`index()`</t>
      </text>
    </comment>
    <comment ref="E39" authorId="0" shapeId="0">
      <text>
        <t>Task 2:
Buat view antrian artikel siap produksi (filter: Belum dijadwalkan / Sudah dijadwalkan)
Path:
`resources/js/pages/Production/Queue/Index.tsx`</t>
      </text>
    </comment>
    <comment ref="F39" authorId="0" shapeId="0">
      <text>
        <t>Task 3:
Buat API Endpoint artikel Published untuk konsumsi portal publik JurnalMu (Kelas B)
Path:
`app/Http/Controllers/Api/PublishedArticleController.php`
Method:
`index()`, `show()`</t>
      </text>
    </comment>
    <comment ref="G39" authorId="0" shapeId="0">
      <text>
        <t>Task 4:
Buat komponen TOCEditor (Table of Contents editor urutan artikel dalam Issue)
Path:
`resources/js/components/TOCEditor.tsx`</t>
      </text>
    </comment>
    <comment ref="D40" authorId="0" shapeId="0">
      <text>
        <t>Task 1:
Buat Entitas Data (Migration, Model, Relasi) Notification &amp; ActivityLog
Path:
`app/Models/Notification.php`, `app/Models/ActivityLog.php` dll</t>
      </text>
    </comment>
    <comment ref="E40" authorId="0" shapeId="0">
      <text>
        <t>Task 2:
Buat method controller index notifikasi milik user (untuk bell dropdown)
Path:
`app/Http/Controllers/NotificationController.php`
Method:
`index()`</t>
      </text>
    </comment>
    <comment ref="F40" authorId="0" shapeId="0">
      <text>
        <t>Task 3:
Buat view/komponen dropdown bell notifikasi (5 terbaru + badge unread)
Path:
`resources/js/components/NotificationBell.tsx`</t>
      </text>
    </comment>
    <comment ref="G40" authorId="0" shapeId="0">
      <text>
        <t>Task 4:
Buat method controller tandai notifikasi dibaca (satu &amp; semua)
Path:
`app/Http/Controllers/NotificationController.php`
Method:
`markRead()`, `markAllRead()`</t>
      </text>
    </comment>
    <comment ref="D41" authorId="0" shapeId="0">
      <text>
        <t>Task 1:
Buat Entitas Data (Migration, Model, Relasi) EmailTemplate
Path:
`app/Models/EmailTemplate.php` dll</t>
      </text>
    </comment>
    <comment ref="E41" authorId="0" shapeId="0">
      <text>
        <t>Task 2:
Buat method controller index kelola template email (Admin/Editor)
Path:
`app/Http/Controllers/Admin/EmailTemplateController.php`
Method:
`index()`</t>
      </text>
    </comment>
    <comment ref="F41" authorId="0" shapeId="0">
      <text>
        <t>Task 3:
Buat view halaman daftar manajemen template email
Path:
`resources/js/pages/Admin/EmailTemplate/Index.tsx`</t>
      </text>
    </comment>
    <comment ref="G41" authorId="0" shapeId="0">
      <text>
        <t>Task 4:
Buat method controller update isi template email
Path:
`app/Http/Controllers/Admin/EmailTemplateController.php`
Method:
`update()`</t>
      </text>
    </comment>
    <comment ref="D42" authorId="0" shapeId="0">
      <text>
        <t>Task 1:
Buat view form edit template email (rich text editor + preview variabel)
Path:
`resources/js/pages/Admin/EmailTemplate/Edit.tsx`</t>
      </text>
    </comment>
    <comment ref="E42" authorId="0" shapeId="0">
      <text>
        <t>Task 2:
Buat logic service pengiriman email otomatis per event
Path:
`app/Services/EmailNotificationService.php`
Method:
`send()`</t>
      </text>
    </comment>
    <comment ref="F42" authorId="0" shapeId="0">
      <text>
        <t>Task 3:
Buat logic observer/event trigger notifikasi in-app saat event submission
Path:
`app/Observers/SubmissionObserver.php`
Method:
`created()`, `updated()`</t>
      </text>
    </comment>
    <comment ref="G42" authorId="0" shapeId="0">
      <text>
        <t>Task 4:
Buat view halaman "Semua Notifikasi" (daftar lengkap + filter status baca)
Path:
`resources/js/pages/Notifications/Index.tsx`</t>
      </text>
    </comment>
    <comment ref="D43" authorId="0" shapeId="0">
      <text>
        <t>Task 1:
Buat Entitas Data (Migration, Model, Relasi) Announcement
Path:
`app/Models/Announcement.php` dll</t>
      </text>
    </comment>
    <comment ref="E43" authorId="0" shapeId="0">
      <text>
        <t>Task 2:
Buat method controller CRUD Announcement (Admin)
Path:
`app/Http/Controllers/Admin/AnnouncementController.php`
Method:
`index()`, `store()`, `update()`, `destroy()`</t>
      </text>
    </comment>
    <comment ref="F43" authorId="0" shapeId="0">
      <text>
        <t>Task 3:
Buat view daftar manajemen Announcement (Admin)
Path:
`resources/js/pages/Admin/Announcement/Index.tsx`</t>
      </text>
    </comment>
    <comment ref="G43" authorId="0" shapeId="0">
      <text>
        <t>Task 4:
Buat view form tambah &amp; edit Announcement (dengan field tanggal kadaluarsa)
Path:
`resources/js/pages/Admin/Announcement/Form.tsx`</t>
      </text>
    </comment>
    <comment ref="D44" authorId="0" shapeId="0">
      <text>
        <t>Task 1:
Buat method controller index Activity Log per submission (untuk Editor)
Path:
`app/Http/Controllers/ActivityLogController.php`
Method:
`index()`</t>
      </text>
    </comment>
    <comment ref="E44" authorId="0" shapeId="0">
      <text>
        <t>Task 2:
Buat view timeline Activity Log per submission (kronologis semua aksi)
Path:
`resources/js/pages/Editorial/ActivityLog.tsx`</t>
      </text>
    </comment>
    <comment ref="F44" authorId="0" shapeId="0">
      <text>
        <t>Task 3:
Buat komponen ActivityLogTimeline (UI timeline vertikal per aksi + aktor)
Path:
`resources/js/components/ActivityLogTimeline.tsx`</t>
      </text>
    </comment>
    <comment ref="G44" authorId="0" shapeId="0">
      <text>
        <t>Task 4:
Buat logic Queue Job pengiriman email via Laravel Queue (async, non-blocking)
Path:
`app/Jobs/SendNotificationEmail.php`
Method:
`handle()`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4" customWidth="1" min="4" max="4"/>
    <col width="16" customWidth="1" min="5" max="5"/>
    <col width="80" customWidth="1" min="6" max="6"/>
  </cols>
  <sheetData>
    <row r="2">
      <c r="B2" s="1" t="inlineStr">
        <is>
          <t>PETUNJUK &amp; LEGENDA PENILAIAN MAHASISWA RPL 2026</t>
        </is>
      </c>
    </row>
    <row r="3">
      <c r="B3" s="2" t="inlineStr">
        <is>
          <t>Panduan Aturan Gradasi Nilai Akhir &amp; Status Kelulusan Sistem Penilaian</t>
        </is>
      </c>
    </row>
    <row r="5">
      <c r="B5" s="3" t="inlineStr">
        <is>
          <t>1. ATURAN GRADASI NILAI &amp; STATUS</t>
        </is>
      </c>
    </row>
    <row r="6" ht="25" customHeight="1">
      <c r="B6" s="4" t="inlineStr">
        <is>
          <t>Jumlah Task Selesai</t>
        </is>
      </c>
      <c r="C6" s="4" t="inlineStr">
        <is>
          <t>Warning Merah</t>
        </is>
      </c>
      <c r="D6" s="4" t="inlineStr">
        <is>
          <t>Nilai Akhir</t>
        </is>
      </c>
      <c r="E6" s="4" t="inlineStr">
        <is>
          <t>Status</t>
        </is>
      </c>
      <c r="F6" s="4" t="inlineStr">
        <is>
          <t>Keterangan Kualifikasi</t>
        </is>
      </c>
    </row>
    <row r="7" ht="20" customHeight="1">
      <c r="B7" s="5" t="n">
        <v>4</v>
      </c>
      <c r="C7" s="5" t="inlineStr">
        <is>
          <t>T</t>
        </is>
      </c>
      <c r="D7" s="6" t="inlineStr">
        <is>
          <t>A</t>
        </is>
      </c>
      <c r="E7" s="6" t="inlineStr">
        <is>
          <t>LULUS</t>
        </is>
      </c>
      <c r="F7" s="7" t="inlineStr">
        <is>
          <t>Sangat Baik: Menyelesaikan seluruh (4) task penugasan.</t>
        </is>
      </c>
    </row>
    <row r="8" ht="20" customHeight="1">
      <c r="B8" s="5" t="n">
        <v>3</v>
      </c>
      <c r="C8" s="5" t="inlineStr">
        <is>
          <t>T</t>
        </is>
      </c>
      <c r="D8" s="8" t="inlineStr">
        <is>
          <t>B+</t>
        </is>
      </c>
      <c r="E8" s="6" t="inlineStr">
        <is>
          <t>LULUS</t>
        </is>
      </c>
      <c r="F8" s="7" t="inlineStr">
        <is>
          <t>Baik: Menyelesaikan 3 task penugasan.</t>
        </is>
      </c>
    </row>
    <row r="9" ht="20" customHeight="1">
      <c r="B9" s="5" t="n">
        <v>2</v>
      </c>
      <c r="C9" s="5" t="inlineStr">
        <is>
          <t>T</t>
        </is>
      </c>
      <c r="D9" s="8" t="inlineStr">
        <is>
          <t>B</t>
        </is>
      </c>
      <c r="E9" s="6" t="inlineStr">
        <is>
          <t>LULUS</t>
        </is>
      </c>
      <c r="F9" s="7" t="inlineStr">
        <is>
          <t>Cukup: Menyelesaikan 2 task penugasan.</t>
        </is>
      </c>
    </row>
    <row r="10" ht="20" customHeight="1">
      <c r="B10" s="5" t="n">
        <v>1</v>
      </c>
      <c r="C10" s="5" t="inlineStr">
        <is>
          <t>T</t>
        </is>
      </c>
      <c r="D10" s="9" t="inlineStr">
        <is>
          <t>D</t>
        </is>
      </c>
      <c r="E10" s="9" t="inlineStr">
        <is>
          <t>BELUM LULUS</t>
        </is>
      </c>
      <c r="F10" s="7" t="inlineStr">
        <is>
          <t>Kurang: Hanya menyelesaikan 1 task penugasan.</t>
        </is>
      </c>
    </row>
    <row r="11" ht="20" customHeight="1">
      <c r="B11" s="5" t="n">
        <v>0</v>
      </c>
      <c r="C11" s="5" t="inlineStr">
        <is>
          <t>T</t>
        </is>
      </c>
      <c r="D11" s="9" t="inlineStr">
        <is>
          <t>E</t>
        </is>
      </c>
      <c r="E11" s="9" t="inlineStr">
        <is>
          <t>BELUM LULUS</t>
        </is>
      </c>
      <c r="F11" s="7" t="inlineStr">
        <is>
          <t>Sangat Kurang: Tidak menyelesaikan task penugasan.</t>
        </is>
      </c>
    </row>
    <row r="12" ht="20" customHeight="1">
      <c r="B12" s="5" t="inlineStr">
        <is>
          <t>Bebas (0-4)</t>
        </is>
      </c>
      <c r="C12" s="5" t="inlineStr">
        <is>
          <t>Y</t>
        </is>
      </c>
      <c r="D12" s="9" t="inlineStr">
        <is>
          <t>E</t>
        </is>
      </c>
      <c r="E12" s="9" t="inlineStr">
        <is>
          <t>BELUM LULUS</t>
        </is>
      </c>
      <c r="F12" s="7" t="inlineStr">
        <is>
          <t>Diskualifikasi: Mendapatkan Warning Merah (Pelanggaran/Terindikasi Bermasalah).</t>
        </is>
      </c>
    </row>
    <row r="15">
      <c r="B15" s="3" t="inlineStr">
        <is>
          <t>2. PETUNJUK PENGGUNAAN SPREADSHEET</t>
        </is>
      </c>
    </row>
    <row r="16" ht="18" customHeight="1">
      <c r="B16" s="10" t="inlineStr">
        <is>
          <t>a. Pilih sheet 'Penilaian Kelas B' atau 'Penilaian Kelas G' sesuai kelas yang ingin dinilai.</t>
        </is>
      </c>
    </row>
    <row r="17" ht="18" customHeight="1">
      <c r="B17" s="10" t="inlineStr">
        <is>
          <t>b. Status Pengerjaan Task (Task 1 s.d Task 4) diisi dengan memilih nilai dari dropdown list ('Belum' / 'Selesai'). Default: 'Belum'.</t>
        </is>
      </c>
    </row>
    <row r="18" ht="18" customHeight="1">
      <c r="B18" s="10" t="inlineStr">
        <is>
          <t>c. Hover / Arahkan kursor ke cell 'Task 1' s.d 'Task 4' untuk melihat detail deskripsi tugas dan file path masing-masing mahasiswa.</t>
        </is>
      </c>
    </row>
    <row r="19" ht="18" customHeight="1">
      <c r="B19" s="10" t="inlineStr">
        <is>
          <t>d. Kolom 'Warning Merah' digunakan untuk memberikan sanksi/warning (dropdown 'Y' / 'T'). Default: 'T'.</t>
        </is>
      </c>
    </row>
    <row r="20" ht="18" customHeight="1">
      <c r="B20" s="10" t="inlineStr">
        <is>
          <t>e. Kolom 'Total Task Selesai', 'Nilai Akhir', dan 'Status' terhitung secara OTOMATIS menggunakan rumus Excel:</t>
        </is>
      </c>
    </row>
    <row r="21" ht="18" customHeight="1">
      <c r="B21" s="10" t="inlineStr">
        <is>
          <t xml:space="preserve">    - Total Task Selesai = COUNTIF(D5:G5, "Selesai")</t>
        </is>
      </c>
    </row>
    <row r="22" ht="18" customHeight="1">
      <c r="B22" s="10" t="inlineStr">
        <is>
          <t xml:space="preserve">    - Nilai Akhir = IF(H5="Y","E",IF(I5=4,"A",IF(I5=3,"B+",IF(I5=2,"B",IF(I5=1,"D","E")))))</t>
        </is>
      </c>
    </row>
    <row r="23" ht="18" customHeight="1">
      <c r="B23" s="10" t="inlineStr">
        <is>
          <t xml:space="preserve">    - Status = IF(J5="E","BELUM LULUS","LULUS")</t>
        </is>
      </c>
    </row>
    <row r="24" ht="18" customHeight="1">
      <c r="B24" s="10" t="inlineStr">
        <is>
          <t>f. Jangan mengubah atau menghapus rumus pada kolom Total Task Selesai, Nilai Akhir, dan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0" customWidth="1" min="9" max="9"/>
    <col width="14" customWidth="1" min="10" max="10"/>
    <col width="18" customWidth="1" min="11" max="11"/>
  </cols>
  <sheetData>
    <row r="1">
      <c r="A1" s="1" t="inlineStr">
        <is>
          <t>DAFTAR PENILAIAN MAHASISWA RPL 2026 - KELAS B</t>
        </is>
      </c>
    </row>
    <row r="2">
      <c r="A2" s="2" t="inlineStr">
        <is>
          <t>Sistem Penelitian Terintegrasi untuk JurnalMu</t>
        </is>
      </c>
    </row>
    <row r="4" ht="28" customHeight="1">
      <c r="A4" s="11" t="inlineStr">
        <is>
          <t>No</t>
        </is>
      </c>
      <c r="B4" s="11" t="inlineStr">
        <is>
          <t>NIM</t>
        </is>
      </c>
      <c r="C4" s="11" t="inlineStr">
        <is>
          <t>Nama Mahasiswa</t>
        </is>
      </c>
      <c r="D4" s="11" t="inlineStr">
        <is>
          <t>Task 1</t>
        </is>
      </c>
      <c r="E4" s="11" t="inlineStr">
        <is>
          <t>Task 2</t>
        </is>
      </c>
      <c r="F4" s="11" t="inlineStr">
        <is>
          <t>Task 3</t>
        </is>
      </c>
      <c r="G4" s="11" t="inlineStr">
        <is>
          <t>Task 4</t>
        </is>
      </c>
      <c r="H4" s="11" t="inlineStr">
        <is>
          <t>Warning Merah</t>
        </is>
      </c>
      <c r="I4" s="11" t="inlineStr">
        <is>
          <t>Total Task Selesai</t>
        </is>
      </c>
      <c r="J4" s="11" t="inlineStr">
        <is>
          <t>Nilai Akhir</t>
        </is>
      </c>
      <c r="K4" s="11" t="inlineStr">
        <is>
          <t>Status</t>
        </is>
      </c>
    </row>
    <row r="5" ht="22" customHeight="1">
      <c r="A5" s="5" t="n">
        <v>1</v>
      </c>
      <c r="B5" s="5" t="inlineStr"/>
      <c r="C5" s="12" t="inlineStr">
        <is>
          <t>MUHAMMAD FAHD AFGHANI ARIDLOI</t>
        </is>
      </c>
      <c r="D5" s="5" t="inlineStr">
        <is>
          <t>Belum</t>
        </is>
      </c>
      <c r="E5" s="5" t="inlineStr">
        <is>
          <t>Belum</t>
        </is>
      </c>
      <c r="F5" s="5" t="inlineStr">
        <is>
          <t>Belum</t>
        </is>
      </c>
      <c r="G5" s="5" t="inlineStr">
        <is>
          <t>Belum</t>
        </is>
      </c>
      <c r="H5" s="5" t="inlineStr">
        <is>
          <t>T</t>
        </is>
      </c>
      <c r="I5" s="13">
        <f>COUNTIF(D5:G5, "Selesai")</f>
        <v/>
      </c>
      <c r="J5" s="13">
        <f>IF(H5="Y","E",IF(I5=4,"A",IF(I5=3,"B+",IF(I5=2,"B",IF(I5=1,"D","E")))))</f>
        <v/>
      </c>
      <c r="K5" s="13">
        <f>IF(J5="E","BELUM LULUS","LULUS")</f>
        <v/>
      </c>
    </row>
    <row r="6" ht="22" customHeight="1">
      <c r="A6" s="14" t="n">
        <v>2</v>
      </c>
      <c r="B6" s="14" t="inlineStr"/>
      <c r="C6" s="15" t="inlineStr">
        <is>
          <t>IRHAM ASDURROH</t>
        </is>
      </c>
      <c r="D6" s="14" t="inlineStr">
        <is>
          <t>Belum</t>
        </is>
      </c>
      <c r="E6" s="14" t="inlineStr">
        <is>
          <t>Belum</t>
        </is>
      </c>
      <c r="F6" s="14" t="inlineStr">
        <is>
          <t>Belum</t>
        </is>
      </c>
      <c r="G6" s="14" t="inlineStr">
        <is>
          <t>Belum</t>
        </is>
      </c>
      <c r="H6" s="14" t="inlineStr">
        <is>
          <t>T</t>
        </is>
      </c>
      <c r="I6" s="16">
        <f>COUNTIF(D6:G6, "Selesai")</f>
        <v/>
      </c>
      <c r="J6" s="16">
        <f>IF(H6="Y","E",IF(I6=4,"A",IF(I6=3,"B+",IF(I6=2,"B",IF(I6=1,"D","E")))))</f>
        <v/>
      </c>
      <c r="K6" s="16">
        <f>IF(J6="E","BELUM LULUS","LULUS")</f>
        <v/>
      </c>
    </row>
    <row r="7" ht="22" customHeight="1">
      <c r="A7" s="5" t="n">
        <v>3</v>
      </c>
      <c r="B7" s="5" t="inlineStr"/>
      <c r="C7" s="12" t="inlineStr">
        <is>
          <t>BAHARUDIN ALVIN DAROJI</t>
        </is>
      </c>
      <c r="D7" s="5" t="inlineStr">
        <is>
          <t>Belum</t>
        </is>
      </c>
      <c r="E7" s="5" t="inlineStr">
        <is>
          <t>Belum</t>
        </is>
      </c>
      <c r="F7" s="5" t="inlineStr">
        <is>
          <t>Belum</t>
        </is>
      </c>
      <c r="G7" s="5" t="inlineStr">
        <is>
          <t>Belum</t>
        </is>
      </c>
      <c r="H7" s="5" t="inlineStr">
        <is>
          <t>T</t>
        </is>
      </c>
      <c r="I7" s="13">
        <f>COUNTIF(D7:G7, "Selesai")</f>
        <v/>
      </c>
      <c r="J7" s="13">
        <f>IF(H7="Y","E",IF(I7=4,"A",IF(I7=3,"B+",IF(I7=2,"B",IF(I7=1,"D","E")))))</f>
        <v/>
      </c>
      <c r="K7" s="13">
        <f>IF(J7="E","BELUM LULUS","LULUS")</f>
        <v/>
      </c>
    </row>
    <row r="8" ht="22" customHeight="1">
      <c r="A8" s="14" t="n">
        <v>4</v>
      </c>
      <c r="B8" s="14" t="inlineStr"/>
      <c r="C8" s="15" t="inlineStr">
        <is>
          <t>FIDYAH RAHMAN</t>
        </is>
      </c>
      <c r="D8" s="14" t="inlineStr">
        <is>
          <t>Belum</t>
        </is>
      </c>
      <c r="E8" s="14" t="inlineStr">
        <is>
          <t>Belum</t>
        </is>
      </c>
      <c r="F8" s="14" t="inlineStr">
        <is>
          <t>Belum</t>
        </is>
      </c>
      <c r="G8" s="14" t="inlineStr">
        <is>
          <t>Belum</t>
        </is>
      </c>
      <c r="H8" s="14" t="inlineStr">
        <is>
          <t>T</t>
        </is>
      </c>
      <c r="I8" s="16">
        <f>COUNTIF(D8:G8, "Selesai")</f>
        <v/>
      </c>
      <c r="J8" s="16">
        <f>IF(H8="Y","E",IF(I8=4,"A",IF(I8=3,"B+",IF(I8=2,"B",IF(I8=1,"D","E")))))</f>
        <v/>
      </c>
      <c r="K8" s="16">
        <f>IF(J8="E","BELUM LULUS","LULUS")</f>
        <v/>
      </c>
    </row>
    <row r="9" ht="22" customHeight="1">
      <c r="A9" s="5" t="n">
        <v>5</v>
      </c>
      <c r="B9" s="5" t="inlineStr"/>
      <c r="C9" s="12" t="inlineStr">
        <is>
          <t>AHMAD TIBYAN HAKIM</t>
        </is>
      </c>
      <c r="D9" s="5" t="inlineStr">
        <is>
          <t>Belum</t>
        </is>
      </c>
      <c r="E9" s="5" t="inlineStr">
        <is>
          <t>Belum</t>
        </is>
      </c>
      <c r="F9" s="5" t="inlineStr">
        <is>
          <t>Belum</t>
        </is>
      </c>
      <c r="G9" s="5" t="inlineStr">
        <is>
          <t>Belum</t>
        </is>
      </c>
      <c r="H9" s="5" t="inlineStr">
        <is>
          <t>T</t>
        </is>
      </c>
      <c r="I9" s="13">
        <f>COUNTIF(D9:G9, "Selesai")</f>
        <v/>
      </c>
      <c r="J9" s="13">
        <f>IF(H9="Y","E",IF(I9=4,"A",IF(I9=3,"B+",IF(I9=2,"B",IF(I9=1,"D","E")))))</f>
        <v/>
      </c>
      <c r="K9" s="13">
        <f>IF(J9="E","BELUM LULUS","LULUS")</f>
        <v/>
      </c>
    </row>
    <row r="10" ht="22" customHeight="1">
      <c r="A10" s="14" t="n">
        <v>6</v>
      </c>
      <c r="B10" s="14" t="inlineStr"/>
      <c r="C10" s="15" t="inlineStr">
        <is>
          <t>MUHAMMAD FADHILA ULINNUHA</t>
        </is>
      </c>
      <c r="D10" s="14" t="inlineStr">
        <is>
          <t>Belum</t>
        </is>
      </c>
      <c r="E10" s="14" t="inlineStr">
        <is>
          <t>Belum</t>
        </is>
      </c>
      <c r="F10" s="14" t="inlineStr">
        <is>
          <t>Belum</t>
        </is>
      </c>
      <c r="G10" s="14" t="inlineStr">
        <is>
          <t>Belum</t>
        </is>
      </c>
      <c r="H10" s="14" t="inlineStr">
        <is>
          <t>T</t>
        </is>
      </c>
      <c r="I10" s="16">
        <f>COUNTIF(D10:G10, "Selesai")</f>
        <v/>
      </c>
      <c r="J10" s="16">
        <f>IF(H10="Y","E",IF(I10=4,"A",IF(I10=3,"B+",IF(I10=2,"B",IF(I10=1,"D","E")))))</f>
        <v/>
      </c>
      <c r="K10" s="16">
        <f>IF(J10="E","BELUM LULUS","LULUS")</f>
        <v/>
      </c>
    </row>
    <row r="11" ht="22" customHeight="1">
      <c r="A11" s="5" t="n">
        <v>7</v>
      </c>
      <c r="B11" s="5" t="inlineStr"/>
      <c r="C11" s="12" t="inlineStr">
        <is>
          <t>RAKA BONDAN PRASETYO</t>
        </is>
      </c>
      <c r="D11" s="5" t="inlineStr">
        <is>
          <t>Belum</t>
        </is>
      </c>
      <c r="E11" s="5" t="inlineStr">
        <is>
          <t>Belum</t>
        </is>
      </c>
      <c r="F11" s="5" t="inlineStr">
        <is>
          <t>Belum</t>
        </is>
      </c>
      <c r="G11" s="5" t="inlineStr">
        <is>
          <t>Belum</t>
        </is>
      </c>
      <c r="H11" s="5" t="inlineStr">
        <is>
          <t>T</t>
        </is>
      </c>
      <c r="I11" s="13">
        <f>COUNTIF(D11:G11, "Selesai")</f>
        <v/>
      </c>
      <c r="J11" s="13">
        <f>IF(H11="Y","E",IF(I11=4,"A",IF(I11=3,"B+",IF(I11=2,"B",IF(I11=1,"D","E")))))</f>
        <v/>
      </c>
      <c r="K11" s="13">
        <f>IF(J11="E","BELUM LULUS","LULUS")</f>
        <v/>
      </c>
    </row>
    <row r="12" ht="22" customHeight="1">
      <c r="A12" s="14" t="n">
        <v>8</v>
      </c>
      <c r="B12" s="14" t="inlineStr"/>
      <c r="C12" s="15" t="inlineStr">
        <is>
          <t>ASYIFA CITRA RAHMADINI</t>
        </is>
      </c>
      <c r="D12" s="14" t="inlineStr">
        <is>
          <t>Belum</t>
        </is>
      </c>
      <c r="E12" s="14" t="inlineStr">
        <is>
          <t>Belum</t>
        </is>
      </c>
      <c r="F12" s="14" t="inlineStr">
        <is>
          <t>Belum</t>
        </is>
      </c>
      <c r="G12" s="14" t="inlineStr">
        <is>
          <t>Belum</t>
        </is>
      </c>
      <c r="H12" s="14" t="inlineStr">
        <is>
          <t>T</t>
        </is>
      </c>
      <c r="I12" s="16">
        <f>COUNTIF(D12:G12, "Selesai")</f>
        <v/>
      </c>
      <c r="J12" s="16">
        <f>IF(H12="Y","E",IF(I12=4,"A",IF(I12=3,"B+",IF(I12=2,"B",IF(I12=1,"D","E")))))</f>
        <v/>
      </c>
      <c r="K12" s="16">
        <f>IF(J12="E","BELUM LULUS","LULUS")</f>
        <v/>
      </c>
    </row>
    <row r="13" ht="22" customHeight="1">
      <c r="A13" s="5" t="n">
        <v>9</v>
      </c>
      <c r="B13" s="5" t="inlineStr"/>
      <c r="C13" s="12" t="inlineStr">
        <is>
          <t>MUHAMMAD HILMI PRASTOWO</t>
        </is>
      </c>
      <c r="D13" s="5" t="inlineStr">
        <is>
          <t>Belum</t>
        </is>
      </c>
      <c r="E13" s="5" t="inlineStr">
        <is>
          <t>Belum</t>
        </is>
      </c>
      <c r="F13" s="5" t="inlineStr">
        <is>
          <t>Belum</t>
        </is>
      </c>
      <c r="G13" s="5" t="inlineStr">
        <is>
          <t>Belum</t>
        </is>
      </c>
      <c r="H13" s="5" t="inlineStr">
        <is>
          <t>T</t>
        </is>
      </c>
      <c r="I13" s="13">
        <f>COUNTIF(D13:G13, "Selesai")</f>
        <v/>
      </c>
      <c r="J13" s="13">
        <f>IF(H13="Y","E",IF(I13=4,"A",IF(I13=3,"B+",IF(I13=2,"B",IF(I13=1,"D","E")))))</f>
        <v/>
      </c>
      <c r="K13" s="13">
        <f>IF(J13="E","BELUM LULUS","LULUS")</f>
        <v/>
      </c>
    </row>
    <row r="14" ht="22" customHeight="1">
      <c r="A14" s="14" t="n">
        <v>10</v>
      </c>
      <c r="B14" s="14" t="inlineStr"/>
      <c r="C14" s="15" t="inlineStr">
        <is>
          <t>FARHAN NUR ICHSAN</t>
        </is>
      </c>
      <c r="D14" s="14" t="inlineStr">
        <is>
          <t>Belum</t>
        </is>
      </c>
      <c r="E14" s="14" t="inlineStr">
        <is>
          <t>Belum</t>
        </is>
      </c>
      <c r="F14" s="14" t="inlineStr">
        <is>
          <t>Belum</t>
        </is>
      </c>
      <c r="G14" s="14" t="inlineStr">
        <is>
          <t>Belum</t>
        </is>
      </c>
      <c r="H14" s="14" t="inlineStr">
        <is>
          <t>T</t>
        </is>
      </c>
      <c r="I14" s="16">
        <f>COUNTIF(D14:G14, "Selesai")</f>
        <v/>
      </c>
      <c r="J14" s="16">
        <f>IF(H14="Y","E",IF(I14=4,"A",IF(I14=3,"B+",IF(I14=2,"B",IF(I14=1,"D","E")))))</f>
        <v/>
      </c>
      <c r="K14" s="16">
        <f>IF(J14="E","BELUM LULUS","LULUS")</f>
        <v/>
      </c>
    </row>
    <row r="15" ht="22" customHeight="1">
      <c r="A15" s="5" t="n">
        <v>11</v>
      </c>
      <c r="B15" s="5" t="inlineStr"/>
      <c r="C15" s="12" t="inlineStr">
        <is>
          <t>NAUFAL MUKHTAR KAMALUDDIN</t>
        </is>
      </c>
      <c r="D15" s="5" t="inlineStr">
        <is>
          <t>Belum</t>
        </is>
      </c>
      <c r="E15" s="5" t="inlineStr">
        <is>
          <t>Belum</t>
        </is>
      </c>
      <c r="F15" s="5" t="inlineStr">
        <is>
          <t>Belum</t>
        </is>
      </c>
      <c r="G15" s="5" t="inlineStr">
        <is>
          <t>Belum</t>
        </is>
      </c>
      <c r="H15" s="5" t="inlineStr">
        <is>
          <t>T</t>
        </is>
      </c>
      <c r="I15" s="13">
        <f>COUNTIF(D15:G15, "Selesai")</f>
        <v/>
      </c>
      <c r="J15" s="13">
        <f>IF(H15="Y","E",IF(I15=4,"A",IF(I15=3,"B+",IF(I15=2,"B",IF(I15=1,"D","E")))))</f>
        <v/>
      </c>
      <c r="K15" s="13">
        <f>IF(J15="E","BELUM LULUS","LULUS")</f>
        <v/>
      </c>
    </row>
    <row r="16" ht="22" customHeight="1">
      <c r="A16" s="14" t="n">
        <v>12</v>
      </c>
      <c r="B16" s="14" t="inlineStr"/>
      <c r="C16" s="15" t="inlineStr">
        <is>
          <t>FAHMI HIDAYAT</t>
        </is>
      </c>
      <c r="D16" s="14" t="inlineStr">
        <is>
          <t>Belum</t>
        </is>
      </c>
      <c r="E16" s="14" t="inlineStr">
        <is>
          <t>Belum</t>
        </is>
      </c>
      <c r="F16" s="14" t="inlineStr">
        <is>
          <t>Belum</t>
        </is>
      </c>
      <c r="G16" s="14" t="inlineStr">
        <is>
          <t>Belum</t>
        </is>
      </c>
      <c r="H16" s="14" t="inlineStr">
        <is>
          <t>T</t>
        </is>
      </c>
      <c r="I16" s="16">
        <f>COUNTIF(D16:G16, "Selesai")</f>
        <v/>
      </c>
      <c r="J16" s="16">
        <f>IF(H16="Y","E",IF(I16=4,"A",IF(I16=3,"B+",IF(I16=2,"B",IF(I16=1,"D","E")))))</f>
        <v/>
      </c>
      <c r="K16" s="16">
        <f>IF(J16="E","BELUM LULUS","LULUS")</f>
        <v/>
      </c>
    </row>
    <row r="17" ht="22" customHeight="1">
      <c r="A17" s="5" t="n">
        <v>13</v>
      </c>
      <c r="B17" s="5" t="inlineStr"/>
      <c r="C17" s="12" t="inlineStr">
        <is>
          <t>CANDRA KURNIAWAN</t>
        </is>
      </c>
      <c r="D17" s="5" t="inlineStr">
        <is>
          <t>Belum</t>
        </is>
      </c>
      <c r="E17" s="5" t="inlineStr">
        <is>
          <t>Belum</t>
        </is>
      </c>
      <c r="F17" s="5" t="inlineStr">
        <is>
          <t>Belum</t>
        </is>
      </c>
      <c r="G17" s="5" t="inlineStr">
        <is>
          <t>Belum</t>
        </is>
      </c>
      <c r="H17" s="5" t="inlineStr">
        <is>
          <t>T</t>
        </is>
      </c>
      <c r="I17" s="13">
        <f>COUNTIF(D17:G17, "Selesai")</f>
        <v/>
      </c>
      <c r="J17" s="13">
        <f>IF(H17="Y","E",IF(I17=4,"A",IF(I17=3,"B+",IF(I17=2,"B",IF(I17=1,"D","E")))))</f>
        <v/>
      </c>
      <c r="K17" s="13">
        <f>IF(J17="E","BELUM LULUS","LULUS")</f>
        <v/>
      </c>
    </row>
    <row r="18" ht="22" customHeight="1">
      <c r="A18" s="14" t="n">
        <v>14</v>
      </c>
      <c r="B18" s="14" t="inlineStr"/>
      <c r="C18" s="15" t="inlineStr">
        <is>
          <t>DIMAS CANDRA PERMANA</t>
        </is>
      </c>
      <c r="D18" s="14" t="inlineStr">
        <is>
          <t>Belum</t>
        </is>
      </c>
      <c r="E18" s="14" t="inlineStr">
        <is>
          <t>Belum</t>
        </is>
      </c>
      <c r="F18" s="14" t="inlineStr">
        <is>
          <t>Belum</t>
        </is>
      </c>
      <c r="G18" s="14" t="inlineStr">
        <is>
          <t>Belum</t>
        </is>
      </c>
      <c r="H18" s="14" t="inlineStr">
        <is>
          <t>T</t>
        </is>
      </c>
      <c r="I18" s="16">
        <f>COUNTIF(D18:G18, "Selesai")</f>
        <v/>
      </c>
      <c r="J18" s="16">
        <f>IF(H18="Y","E",IF(I18=4,"A",IF(I18=3,"B+",IF(I18=2,"B",IF(I18=1,"D","E")))))</f>
        <v/>
      </c>
      <c r="K18" s="16">
        <f>IF(J18="E","BELUM LULUS","LULUS")</f>
        <v/>
      </c>
    </row>
    <row r="19" ht="22" customHeight="1">
      <c r="A19" s="5" t="n">
        <v>15</v>
      </c>
      <c r="B19" s="5" t="inlineStr"/>
      <c r="C19" s="12" t="inlineStr">
        <is>
          <t>HUSNA SALSABILLA</t>
        </is>
      </c>
      <c r="D19" s="5" t="inlineStr">
        <is>
          <t>Belum</t>
        </is>
      </c>
      <c r="E19" s="5" t="inlineStr">
        <is>
          <t>Belum</t>
        </is>
      </c>
      <c r="F19" s="5" t="inlineStr">
        <is>
          <t>Belum</t>
        </is>
      </c>
      <c r="G19" s="5" t="inlineStr">
        <is>
          <t>Belum</t>
        </is>
      </c>
      <c r="H19" s="5" t="inlineStr">
        <is>
          <t>T</t>
        </is>
      </c>
      <c r="I19" s="13">
        <f>COUNTIF(D19:G19, "Selesai")</f>
        <v/>
      </c>
      <c r="J19" s="13">
        <f>IF(H19="Y","E",IF(I19=4,"A",IF(I19=3,"B+",IF(I19=2,"B",IF(I19=1,"D","E")))))</f>
        <v/>
      </c>
      <c r="K19" s="13">
        <f>IF(J19="E","BELUM LULUS","LULUS")</f>
        <v/>
      </c>
    </row>
    <row r="20" ht="22" customHeight="1">
      <c r="A20" s="14" t="n">
        <v>16</v>
      </c>
      <c r="B20" s="14" t="inlineStr"/>
      <c r="C20" s="15" t="inlineStr">
        <is>
          <t>FADHIL FIRMANSYAH RAZAK</t>
        </is>
      </c>
      <c r="D20" s="14" t="inlineStr">
        <is>
          <t>Belum</t>
        </is>
      </c>
      <c r="E20" s="14" t="inlineStr">
        <is>
          <t>Belum</t>
        </is>
      </c>
      <c r="F20" s="14" t="inlineStr">
        <is>
          <t>Belum</t>
        </is>
      </c>
      <c r="G20" s="14" t="inlineStr">
        <is>
          <t>Belum</t>
        </is>
      </c>
      <c r="H20" s="14" t="inlineStr">
        <is>
          <t>T</t>
        </is>
      </c>
      <c r="I20" s="16">
        <f>COUNTIF(D20:G20, "Selesai")</f>
        <v/>
      </c>
      <c r="J20" s="16">
        <f>IF(H20="Y","E",IF(I20=4,"A",IF(I20=3,"B+",IF(I20=2,"B",IF(I20=1,"D","E")))))</f>
        <v/>
      </c>
      <c r="K20" s="16">
        <f>IF(J20="E","BELUM LULUS","LULUS")</f>
        <v/>
      </c>
    </row>
    <row r="21" ht="22" customHeight="1">
      <c r="A21" s="5" t="n">
        <v>17</v>
      </c>
      <c r="B21" s="5" t="inlineStr"/>
      <c r="C21" s="12" t="inlineStr">
        <is>
          <t>MUHAMMAD NAUFAL AFRIZA</t>
        </is>
      </c>
      <c r="D21" s="5" t="inlineStr">
        <is>
          <t>Belum</t>
        </is>
      </c>
      <c r="E21" s="5" t="inlineStr">
        <is>
          <t>Belum</t>
        </is>
      </c>
      <c r="F21" s="5" t="inlineStr">
        <is>
          <t>Belum</t>
        </is>
      </c>
      <c r="G21" s="5" t="inlineStr">
        <is>
          <t>Belum</t>
        </is>
      </c>
      <c r="H21" s="5" t="inlineStr">
        <is>
          <t>T</t>
        </is>
      </c>
      <c r="I21" s="13">
        <f>COUNTIF(D21:G21, "Selesai")</f>
        <v/>
      </c>
      <c r="J21" s="13">
        <f>IF(H21="Y","E",IF(I21=4,"A",IF(I21=3,"B+",IF(I21=2,"B",IF(I21=1,"D","E")))))</f>
        <v/>
      </c>
      <c r="K21" s="13">
        <f>IF(J21="E","BELUM LULUS","LULUS")</f>
        <v/>
      </c>
    </row>
    <row r="22" ht="22" customHeight="1">
      <c r="A22" s="14" t="n">
        <v>18</v>
      </c>
      <c r="B22" s="14" t="inlineStr"/>
      <c r="C22" s="15" t="inlineStr">
        <is>
          <t>GILANG JA'FAR PRASETYA</t>
        </is>
      </c>
      <c r="D22" s="14" t="inlineStr">
        <is>
          <t>Belum</t>
        </is>
      </c>
      <c r="E22" s="14" t="inlineStr">
        <is>
          <t>Belum</t>
        </is>
      </c>
      <c r="F22" s="14" t="inlineStr">
        <is>
          <t>Belum</t>
        </is>
      </c>
      <c r="G22" s="14" t="inlineStr">
        <is>
          <t>Belum</t>
        </is>
      </c>
      <c r="H22" s="14" t="inlineStr">
        <is>
          <t>T</t>
        </is>
      </c>
      <c r="I22" s="16">
        <f>COUNTIF(D22:G22, "Selesai")</f>
        <v/>
      </c>
      <c r="J22" s="16">
        <f>IF(H22="Y","E",IF(I22=4,"A",IF(I22=3,"B+",IF(I22=2,"B",IF(I22=1,"D","E")))))</f>
        <v/>
      </c>
      <c r="K22" s="16">
        <f>IF(J22="E","BELUM LULUS","LULUS")</f>
        <v/>
      </c>
    </row>
    <row r="23" ht="22" customHeight="1">
      <c r="A23" s="5" t="n">
        <v>19</v>
      </c>
      <c r="B23" s="5" t="inlineStr"/>
      <c r="C23" s="12" t="inlineStr">
        <is>
          <t>AKMAL PUTRA RAIHAN</t>
        </is>
      </c>
      <c r="D23" s="5" t="inlineStr">
        <is>
          <t>Belum</t>
        </is>
      </c>
      <c r="E23" s="5" t="inlineStr">
        <is>
          <t>Belum</t>
        </is>
      </c>
      <c r="F23" s="5" t="inlineStr">
        <is>
          <t>Belum</t>
        </is>
      </c>
      <c r="G23" s="5" t="inlineStr">
        <is>
          <t>Belum</t>
        </is>
      </c>
      <c r="H23" s="5" t="inlineStr">
        <is>
          <t>T</t>
        </is>
      </c>
      <c r="I23" s="13">
        <f>COUNTIF(D23:G23, "Selesai")</f>
        <v/>
      </c>
      <c r="J23" s="13">
        <f>IF(H23="Y","E",IF(I23=4,"A",IF(I23=3,"B+",IF(I23=2,"B",IF(I23=1,"D","E")))))</f>
        <v/>
      </c>
      <c r="K23" s="13">
        <f>IF(J23="E","BELUM LULUS","LULUS")</f>
        <v/>
      </c>
    </row>
    <row r="24" ht="22" customHeight="1">
      <c r="A24" s="14" t="n">
        <v>20</v>
      </c>
      <c r="B24" s="14" t="inlineStr"/>
      <c r="C24" s="15" t="inlineStr">
        <is>
          <t>HAYQAL AKBAR RIZKY I.</t>
        </is>
      </c>
      <c r="D24" s="14" t="inlineStr">
        <is>
          <t>Belum</t>
        </is>
      </c>
      <c r="E24" s="14" t="inlineStr">
        <is>
          <t>Belum</t>
        </is>
      </c>
      <c r="F24" s="14" t="inlineStr">
        <is>
          <t>Belum</t>
        </is>
      </c>
      <c r="G24" s="14" t="inlineStr">
        <is>
          <t>Belum</t>
        </is>
      </c>
      <c r="H24" s="14" t="inlineStr">
        <is>
          <t>T</t>
        </is>
      </c>
      <c r="I24" s="16">
        <f>COUNTIF(D24:G24, "Selesai")</f>
        <v/>
      </c>
      <c r="J24" s="16">
        <f>IF(H24="Y","E",IF(I24=4,"A",IF(I24=3,"B+",IF(I24=2,"B",IF(I24=1,"D","E")))))</f>
        <v/>
      </c>
      <c r="K24" s="16">
        <f>IF(J24="E","BELUM LULUS","LULUS")</f>
        <v/>
      </c>
    </row>
    <row r="25" ht="22" customHeight="1">
      <c r="A25" s="5" t="n">
        <v>21</v>
      </c>
      <c r="B25" s="5" t="inlineStr"/>
      <c r="C25" s="12" t="inlineStr">
        <is>
          <t>DIMAS FADLY MUHAMAD A.</t>
        </is>
      </c>
      <c r="D25" s="5" t="inlineStr">
        <is>
          <t>Belum</t>
        </is>
      </c>
      <c r="E25" s="5" t="inlineStr">
        <is>
          <t>Belum</t>
        </is>
      </c>
      <c r="F25" s="5" t="inlineStr">
        <is>
          <t>Belum</t>
        </is>
      </c>
      <c r="G25" s="5" t="inlineStr">
        <is>
          <t>Belum</t>
        </is>
      </c>
      <c r="H25" s="5" t="inlineStr">
        <is>
          <t>T</t>
        </is>
      </c>
      <c r="I25" s="13">
        <f>COUNTIF(D25:G25, "Selesai")</f>
        <v/>
      </c>
      <c r="J25" s="13">
        <f>IF(H25="Y","E",IF(I25=4,"A",IF(I25=3,"B+",IF(I25=2,"B",IF(I25=1,"D","E")))))</f>
        <v/>
      </c>
      <c r="K25" s="13">
        <f>IF(J25="E","BELUM LULUS","LULUS")</f>
        <v/>
      </c>
    </row>
    <row r="26" ht="22" customHeight="1">
      <c r="A26" s="14" t="n">
        <v>22</v>
      </c>
      <c r="B26" s="14" t="inlineStr"/>
      <c r="C26" s="15" t="inlineStr">
        <is>
          <t>ZAINAL BASRI KARANGGUSI</t>
        </is>
      </c>
      <c r="D26" s="14" t="inlineStr">
        <is>
          <t>Belum</t>
        </is>
      </c>
      <c r="E26" s="14" t="inlineStr">
        <is>
          <t>Belum</t>
        </is>
      </c>
      <c r="F26" s="14" t="inlineStr">
        <is>
          <t>Belum</t>
        </is>
      </c>
      <c r="G26" s="14" t="inlineStr">
        <is>
          <t>Belum</t>
        </is>
      </c>
      <c r="H26" s="14" t="inlineStr">
        <is>
          <t>T</t>
        </is>
      </c>
      <c r="I26" s="16">
        <f>COUNTIF(D26:G26, "Selesai")</f>
        <v/>
      </c>
      <c r="J26" s="16">
        <f>IF(H26="Y","E",IF(I26=4,"A",IF(I26=3,"B+",IF(I26=2,"B",IF(I26=1,"D","E")))))</f>
        <v/>
      </c>
      <c r="K26" s="16">
        <f>IF(J26="E","BELUM LULUS","LULUS")</f>
        <v/>
      </c>
    </row>
    <row r="27" ht="22" customHeight="1">
      <c r="A27" s="5" t="n">
        <v>23</v>
      </c>
      <c r="B27" s="5" t="inlineStr"/>
      <c r="C27" s="12" t="inlineStr">
        <is>
          <t>MUHAMAD BURHANUDIN A.B.</t>
        </is>
      </c>
      <c r="D27" s="5" t="inlineStr">
        <is>
          <t>Belum</t>
        </is>
      </c>
      <c r="E27" s="5" t="inlineStr">
        <is>
          <t>Belum</t>
        </is>
      </c>
      <c r="F27" s="5" t="inlineStr">
        <is>
          <t>Belum</t>
        </is>
      </c>
      <c r="G27" s="5" t="inlineStr">
        <is>
          <t>Belum</t>
        </is>
      </c>
      <c r="H27" s="5" t="inlineStr">
        <is>
          <t>T</t>
        </is>
      </c>
      <c r="I27" s="13">
        <f>COUNTIF(D27:G27, "Selesai")</f>
        <v/>
      </c>
      <c r="J27" s="13">
        <f>IF(H27="Y","E",IF(I27=4,"A",IF(I27=3,"B+",IF(I27=2,"B",IF(I27=1,"D","E")))))</f>
        <v/>
      </c>
      <c r="K27" s="13">
        <f>IF(J27="E","BELUM LULUS","LULUS")</f>
        <v/>
      </c>
    </row>
    <row r="28" ht="22" customHeight="1">
      <c r="A28" s="14" t="n">
        <v>24</v>
      </c>
      <c r="B28" s="14" t="inlineStr"/>
      <c r="C28" s="15" t="inlineStr">
        <is>
          <t>KHANSA KAMILAH LICTJELITA</t>
        </is>
      </c>
      <c r="D28" s="14" t="inlineStr">
        <is>
          <t>Belum</t>
        </is>
      </c>
      <c r="E28" s="14" t="inlineStr">
        <is>
          <t>Belum</t>
        </is>
      </c>
      <c r="F28" s="14" t="inlineStr">
        <is>
          <t>Belum</t>
        </is>
      </c>
      <c r="G28" s="14" t="inlineStr">
        <is>
          <t>Belum</t>
        </is>
      </c>
      <c r="H28" s="14" t="inlineStr">
        <is>
          <t>T</t>
        </is>
      </c>
      <c r="I28" s="16">
        <f>COUNTIF(D28:G28, "Selesai")</f>
        <v/>
      </c>
      <c r="J28" s="16">
        <f>IF(H28="Y","E",IF(I28=4,"A",IF(I28=3,"B+",IF(I28=2,"B",IF(I28=1,"D","E")))))</f>
        <v/>
      </c>
      <c r="K28" s="16">
        <f>IF(J28="E","BELUM LULUS","LULUS")</f>
        <v/>
      </c>
    </row>
    <row r="29" ht="22" customHeight="1">
      <c r="A29" s="5" t="n">
        <v>25</v>
      </c>
      <c r="B29" s="5" t="inlineStr"/>
      <c r="C29" s="12" t="inlineStr">
        <is>
          <t>ARYA DWIKUNCORO</t>
        </is>
      </c>
      <c r="D29" s="5" t="inlineStr">
        <is>
          <t>Belum</t>
        </is>
      </c>
      <c r="E29" s="5" t="inlineStr">
        <is>
          <t>Belum</t>
        </is>
      </c>
      <c r="F29" s="5" t="inlineStr">
        <is>
          <t>Belum</t>
        </is>
      </c>
      <c r="G29" s="5" t="inlineStr">
        <is>
          <t>Belum</t>
        </is>
      </c>
      <c r="H29" s="5" t="inlineStr">
        <is>
          <t>T</t>
        </is>
      </c>
      <c r="I29" s="13">
        <f>COUNTIF(D29:G29, "Selesai")</f>
        <v/>
      </c>
      <c r="J29" s="13">
        <f>IF(H29="Y","E",IF(I29=4,"A",IF(I29=3,"B+",IF(I29=2,"B",IF(I29=1,"D","E")))))</f>
        <v/>
      </c>
      <c r="K29" s="13">
        <f>IF(J29="E","BELUM LULUS","LULUS")</f>
        <v/>
      </c>
    </row>
    <row r="30" ht="22" customHeight="1">
      <c r="A30" s="14" t="n">
        <v>26</v>
      </c>
      <c r="B30" s="14" t="inlineStr"/>
      <c r="C30" s="15" t="inlineStr">
        <is>
          <t>MUHAMMAD RAFINDRA Y.</t>
        </is>
      </c>
      <c r="D30" s="14" t="inlineStr">
        <is>
          <t>Belum</t>
        </is>
      </c>
      <c r="E30" s="14" t="inlineStr">
        <is>
          <t>Belum</t>
        </is>
      </c>
      <c r="F30" s="14" t="inlineStr">
        <is>
          <t>Belum</t>
        </is>
      </c>
      <c r="G30" s="14" t="inlineStr">
        <is>
          <t>Belum</t>
        </is>
      </c>
      <c r="H30" s="14" t="inlineStr">
        <is>
          <t>T</t>
        </is>
      </c>
      <c r="I30" s="16">
        <f>COUNTIF(D30:G30, "Selesai")</f>
        <v/>
      </c>
      <c r="J30" s="16">
        <f>IF(H30="Y","E",IF(I30=4,"A",IF(I30=3,"B+",IF(I30=2,"B",IF(I30=1,"D","E")))))</f>
        <v/>
      </c>
      <c r="K30" s="16">
        <f>IF(J30="E","BELUM LULUS","LULUS")</f>
        <v/>
      </c>
    </row>
    <row r="31" ht="22" customHeight="1">
      <c r="A31" s="5" t="n">
        <v>27</v>
      </c>
      <c r="B31" s="5" t="inlineStr"/>
      <c r="C31" s="12" t="inlineStr">
        <is>
          <t>MUHAMMAD NUR RASYID</t>
        </is>
      </c>
      <c r="D31" s="5" t="inlineStr">
        <is>
          <t>Belum</t>
        </is>
      </c>
      <c r="E31" s="5" t="inlineStr">
        <is>
          <t>Belum</t>
        </is>
      </c>
      <c r="F31" s="5" t="inlineStr">
        <is>
          <t>Belum</t>
        </is>
      </c>
      <c r="G31" s="5" t="inlineStr">
        <is>
          <t>Belum</t>
        </is>
      </c>
      <c r="H31" s="5" t="inlineStr">
        <is>
          <t>T</t>
        </is>
      </c>
      <c r="I31" s="13">
        <f>COUNTIF(D31:G31, "Selesai")</f>
        <v/>
      </c>
      <c r="J31" s="13">
        <f>IF(H31="Y","E",IF(I31=4,"A",IF(I31=3,"B+",IF(I31=2,"B",IF(I31=1,"D","E")))))</f>
        <v/>
      </c>
      <c r="K31" s="13">
        <f>IF(J31="E","BELUM LULUS","LULUS")</f>
        <v/>
      </c>
    </row>
    <row r="32" ht="22" customHeight="1">
      <c r="A32" s="14" t="n">
        <v>28</v>
      </c>
      <c r="B32" s="14" t="inlineStr"/>
      <c r="C32" s="15" t="inlineStr">
        <is>
          <t>MEGA RUKMANA DRAKEL</t>
        </is>
      </c>
      <c r="D32" s="14" t="inlineStr">
        <is>
          <t>Belum</t>
        </is>
      </c>
      <c r="E32" s="14" t="inlineStr">
        <is>
          <t>Belum</t>
        </is>
      </c>
      <c r="F32" s="14" t="inlineStr">
        <is>
          <t>Belum</t>
        </is>
      </c>
      <c r="G32" s="14" t="inlineStr">
        <is>
          <t>Belum</t>
        </is>
      </c>
      <c r="H32" s="14" t="inlineStr">
        <is>
          <t>T</t>
        </is>
      </c>
      <c r="I32" s="16">
        <f>COUNTIF(D32:G32, "Selesai")</f>
        <v/>
      </c>
      <c r="J32" s="16">
        <f>IF(H32="Y","E",IF(I32=4,"A",IF(I32=3,"B+",IF(I32=2,"B",IF(I32=1,"D","E")))))</f>
        <v/>
      </c>
      <c r="K32" s="16">
        <f>IF(J32="E","BELUM LULUS","LULUS")</f>
        <v/>
      </c>
    </row>
    <row r="33" ht="22" customHeight="1">
      <c r="A33" s="5" t="n">
        <v>29</v>
      </c>
      <c r="B33" s="5" t="inlineStr"/>
      <c r="C33" s="12" t="inlineStr">
        <is>
          <t>RAFLI GUNAWAN</t>
        </is>
      </c>
      <c r="D33" s="5" t="inlineStr">
        <is>
          <t>Belum</t>
        </is>
      </c>
      <c r="E33" s="5" t="inlineStr">
        <is>
          <t>Belum</t>
        </is>
      </c>
      <c r="F33" s="5" t="inlineStr">
        <is>
          <t>Belum</t>
        </is>
      </c>
      <c r="G33" s="5" t="inlineStr">
        <is>
          <t>Belum</t>
        </is>
      </c>
      <c r="H33" s="5" t="inlineStr">
        <is>
          <t>T</t>
        </is>
      </c>
      <c r="I33" s="13">
        <f>COUNTIF(D33:G33, "Selesai")</f>
        <v/>
      </c>
      <c r="J33" s="13">
        <f>IF(H33="Y","E",IF(I33=4,"A",IF(I33=3,"B+",IF(I33=2,"B",IF(I33=1,"D","E")))))</f>
        <v/>
      </c>
      <c r="K33" s="13">
        <f>IF(J33="E","BELUM LULUS","LULUS")</f>
        <v/>
      </c>
    </row>
    <row r="34" ht="22" customHeight="1">
      <c r="A34" s="14" t="n">
        <v>30</v>
      </c>
      <c r="B34" s="14" t="inlineStr"/>
      <c r="C34" s="15" t="inlineStr">
        <is>
          <t>MUHAMMAD ROJULAN H.</t>
        </is>
      </c>
      <c r="D34" s="14" t="inlineStr">
        <is>
          <t>Belum</t>
        </is>
      </c>
      <c r="E34" s="14" t="inlineStr">
        <is>
          <t>Belum</t>
        </is>
      </c>
      <c r="F34" s="14" t="inlineStr">
        <is>
          <t>Belum</t>
        </is>
      </c>
      <c r="G34" s="14" t="inlineStr">
        <is>
          <t>Belum</t>
        </is>
      </c>
      <c r="H34" s="14" t="inlineStr">
        <is>
          <t>T</t>
        </is>
      </c>
      <c r="I34" s="16">
        <f>COUNTIF(D34:G34, "Selesai")</f>
        <v/>
      </c>
      <c r="J34" s="16">
        <f>IF(H34="Y","E",IF(I34=4,"A",IF(I34=3,"B+",IF(I34=2,"B",IF(I34=1,"D","E")))))</f>
        <v/>
      </c>
      <c r="K34" s="16">
        <f>IF(J34="E","BELUM LULUS","LULUS")</f>
        <v/>
      </c>
    </row>
    <row r="35" ht="22" customHeight="1">
      <c r="A35" s="5" t="n">
        <v>31</v>
      </c>
      <c r="B35" s="5" t="inlineStr"/>
      <c r="C35" s="12" t="inlineStr">
        <is>
          <t>M. RASYIT REDHA</t>
        </is>
      </c>
      <c r="D35" s="5" t="inlineStr">
        <is>
          <t>Belum</t>
        </is>
      </c>
      <c r="E35" s="5" t="inlineStr">
        <is>
          <t>Belum</t>
        </is>
      </c>
      <c r="F35" s="5" t="inlineStr">
        <is>
          <t>Belum</t>
        </is>
      </c>
      <c r="G35" s="5" t="inlineStr">
        <is>
          <t>Belum</t>
        </is>
      </c>
      <c r="H35" s="5" t="inlineStr">
        <is>
          <t>T</t>
        </is>
      </c>
      <c r="I35" s="13">
        <f>COUNTIF(D35:G35, "Selesai")</f>
        <v/>
      </c>
      <c r="J35" s="13">
        <f>IF(H35="Y","E",IF(I35=4,"A",IF(I35=3,"B+",IF(I35=2,"B",IF(I35=1,"D","E")))))</f>
        <v/>
      </c>
      <c r="K35" s="13">
        <f>IF(J35="E","BELUM LULUS","LULUS")</f>
        <v/>
      </c>
    </row>
    <row r="36" ht="22" customHeight="1">
      <c r="A36" s="14" t="n">
        <v>32</v>
      </c>
      <c r="B36" s="14" t="inlineStr"/>
      <c r="C36" s="15" t="inlineStr">
        <is>
          <t>DEN HANIEF LANIENT I.</t>
        </is>
      </c>
      <c r="D36" s="14" t="inlineStr">
        <is>
          <t>Belum</t>
        </is>
      </c>
      <c r="E36" s="14" t="inlineStr">
        <is>
          <t>Belum</t>
        </is>
      </c>
      <c r="F36" s="14" t="inlineStr">
        <is>
          <t>Belum</t>
        </is>
      </c>
      <c r="G36" s="14" t="inlineStr">
        <is>
          <t>Belum</t>
        </is>
      </c>
      <c r="H36" s="14" t="inlineStr">
        <is>
          <t>T</t>
        </is>
      </c>
      <c r="I36" s="16">
        <f>COUNTIF(D36:G36, "Selesai")</f>
        <v/>
      </c>
      <c r="J36" s="16">
        <f>IF(H36="Y","E",IF(I36=4,"A",IF(I36=3,"B+",IF(I36=2,"B",IF(I36=1,"D","E")))))</f>
        <v/>
      </c>
      <c r="K36" s="16">
        <f>IF(J36="E","BELUM LULUS","LULUS")</f>
        <v/>
      </c>
    </row>
    <row r="37" ht="22" customHeight="1">
      <c r="A37" s="5" t="n">
        <v>33</v>
      </c>
      <c r="B37" s="5" t="inlineStr"/>
      <c r="C37" s="12" t="inlineStr">
        <is>
          <t>HIDAYAT LOSSEN</t>
        </is>
      </c>
      <c r="D37" s="5" t="inlineStr">
        <is>
          <t>Belum</t>
        </is>
      </c>
      <c r="E37" s="5" t="inlineStr">
        <is>
          <t>Belum</t>
        </is>
      </c>
      <c r="F37" s="5" t="inlineStr">
        <is>
          <t>Belum</t>
        </is>
      </c>
      <c r="G37" s="5" t="inlineStr">
        <is>
          <t>Belum</t>
        </is>
      </c>
      <c r="H37" s="5" t="inlineStr">
        <is>
          <t>T</t>
        </is>
      </c>
      <c r="I37" s="13">
        <f>COUNTIF(D37:G37, "Selesai")</f>
        <v/>
      </c>
      <c r="J37" s="13">
        <f>IF(H37="Y","E",IF(I37=4,"A",IF(I37=3,"B+",IF(I37=2,"B",IF(I37=1,"D","E")))))</f>
        <v/>
      </c>
      <c r="K37" s="13">
        <f>IF(J37="E","BELUM LULUS","LULUS")</f>
        <v/>
      </c>
    </row>
    <row r="38" ht="22" customHeight="1">
      <c r="A38" s="14" t="n">
        <v>34</v>
      </c>
      <c r="B38" s="14" t="inlineStr"/>
      <c r="C38" s="15" t="inlineStr">
        <is>
          <t>ALVIN LUQMANUL HAKIM</t>
        </is>
      </c>
      <c r="D38" s="14" t="inlineStr">
        <is>
          <t>Belum</t>
        </is>
      </c>
      <c r="E38" s="14" t="inlineStr">
        <is>
          <t>Belum</t>
        </is>
      </c>
      <c r="F38" s="14" t="inlineStr">
        <is>
          <t>Belum</t>
        </is>
      </c>
      <c r="G38" s="14" t="inlineStr">
        <is>
          <t>Belum</t>
        </is>
      </c>
      <c r="H38" s="14" t="inlineStr">
        <is>
          <t>T</t>
        </is>
      </c>
      <c r="I38" s="16">
        <f>COUNTIF(D38:G38, "Selesai")</f>
        <v/>
      </c>
      <c r="J38" s="16">
        <f>IF(H38="Y","E",IF(I38=4,"A",IF(I38=3,"B+",IF(I38=2,"B",IF(I38=1,"D","E")))))</f>
        <v/>
      </c>
      <c r="K38" s="16">
        <f>IF(J38="E","BELUM LULUS","LULUS")</f>
        <v/>
      </c>
    </row>
    <row r="39" ht="22" customHeight="1">
      <c r="A39" s="5" t="n">
        <v>35</v>
      </c>
      <c r="B39" s="5" t="inlineStr"/>
      <c r="C39" s="12" t="inlineStr">
        <is>
          <t>FAIZ SADDAM RAFLY MULIA</t>
        </is>
      </c>
      <c r="D39" s="5" t="inlineStr">
        <is>
          <t>Belum</t>
        </is>
      </c>
      <c r="E39" s="5" t="inlineStr">
        <is>
          <t>Belum</t>
        </is>
      </c>
      <c r="F39" s="5" t="inlineStr">
        <is>
          <t>Belum</t>
        </is>
      </c>
      <c r="G39" s="5" t="inlineStr">
        <is>
          <t>Belum</t>
        </is>
      </c>
      <c r="H39" s="5" t="inlineStr">
        <is>
          <t>T</t>
        </is>
      </c>
      <c r="I39" s="13">
        <f>COUNTIF(D39:G39, "Selesai")</f>
        <v/>
      </c>
      <c r="J39" s="13">
        <f>IF(H39="Y","E",IF(I39=4,"A",IF(I39=3,"B+",IF(I39=2,"B",IF(I39=1,"D","E")))))</f>
        <v/>
      </c>
      <c r="K39" s="13">
        <f>IF(J39="E","BELUM LULUS","LULUS")</f>
        <v/>
      </c>
    </row>
    <row r="40" ht="22" customHeight="1">
      <c r="A40" s="14" t="n">
        <v>36</v>
      </c>
      <c r="B40" s="14" t="inlineStr"/>
      <c r="C40" s="15" t="inlineStr">
        <is>
          <t>AGUNG KURNIAWAN</t>
        </is>
      </c>
      <c r="D40" s="14" t="inlineStr">
        <is>
          <t>Belum</t>
        </is>
      </c>
      <c r="E40" s="14" t="inlineStr">
        <is>
          <t>Belum</t>
        </is>
      </c>
      <c r="F40" s="14" t="inlineStr">
        <is>
          <t>Belum</t>
        </is>
      </c>
      <c r="G40" s="14" t="inlineStr">
        <is>
          <t>Belum</t>
        </is>
      </c>
      <c r="H40" s="14" t="inlineStr">
        <is>
          <t>T</t>
        </is>
      </c>
      <c r="I40" s="16">
        <f>COUNTIF(D40:G40, "Selesai")</f>
        <v/>
      </c>
      <c r="J40" s="16">
        <f>IF(H40="Y","E",IF(I40=4,"A",IF(I40=3,"B+",IF(I40=2,"B",IF(I40=1,"D","E")))))</f>
        <v/>
      </c>
      <c r="K40" s="16">
        <f>IF(J40="E","BELUM LULUS","LULUS")</f>
        <v/>
      </c>
    </row>
    <row r="41" ht="22" customHeight="1">
      <c r="A41" s="5" t="n">
        <v>37</v>
      </c>
      <c r="B41" s="5" t="inlineStr"/>
      <c r="C41" s="12" t="inlineStr">
        <is>
          <t>AKBAR ZAQI FIKTARIZAEN</t>
        </is>
      </c>
      <c r="D41" s="5" t="inlineStr">
        <is>
          <t>Belum</t>
        </is>
      </c>
      <c r="E41" s="5" t="inlineStr">
        <is>
          <t>Belum</t>
        </is>
      </c>
      <c r="F41" s="5" t="inlineStr">
        <is>
          <t>Belum</t>
        </is>
      </c>
      <c r="G41" s="5" t="inlineStr">
        <is>
          <t>Belum</t>
        </is>
      </c>
      <c r="H41" s="5" t="inlineStr">
        <is>
          <t>T</t>
        </is>
      </c>
      <c r="I41" s="13">
        <f>COUNTIF(D41:G41, "Selesai")</f>
        <v/>
      </c>
      <c r="J41" s="13">
        <f>IF(H41="Y","E",IF(I41=4,"A",IF(I41=3,"B+",IF(I41=2,"B",IF(I41=1,"D","E")))))</f>
        <v/>
      </c>
      <c r="K41" s="13">
        <f>IF(J41="E","BELUM LULUS","LULUS")</f>
        <v/>
      </c>
    </row>
    <row r="42" ht="22" customHeight="1">
      <c r="A42" s="14" t="n">
        <v>38</v>
      </c>
      <c r="B42" s="14" t="inlineStr"/>
      <c r="C42" s="15" t="inlineStr">
        <is>
          <t>FARIS ILHAM PRIYADI</t>
        </is>
      </c>
      <c r="D42" s="14" t="inlineStr">
        <is>
          <t>Belum</t>
        </is>
      </c>
      <c r="E42" s="14" t="inlineStr">
        <is>
          <t>Belum</t>
        </is>
      </c>
      <c r="F42" s="14" t="inlineStr">
        <is>
          <t>Belum</t>
        </is>
      </c>
      <c r="G42" s="14" t="inlineStr">
        <is>
          <t>Belum</t>
        </is>
      </c>
      <c r="H42" s="14" t="inlineStr">
        <is>
          <t>T</t>
        </is>
      </c>
      <c r="I42" s="16">
        <f>COUNTIF(D42:G42, "Selesai")</f>
        <v/>
      </c>
      <c r="J42" s="16">
        <f>IF(H42="Y","E",IF(I42=4,"A",IF(I42=3,"B+",IF(I42=2,"B",IF(I42=1,"D","E")))))</f>
        <v/>
      </c>
      <c r="K42" s="16">
        <f>IF(J42="E","BELUM LULUS","LULUS")</f>
        <v/>
      </c>
    </row>
    <row r="43" ht="22" customHeight="1">
      <c r="A43" s="5" t="n">
        <v>39</v>
      </c>
      <c r="B43" s="5" t="inlineStr"/>
      <c r="C43" s="12" t="inlineStr">
        <is>
          <t>DEVA RANANDA GALIH P.</t>
        </is>
      </c>
      <c r="D43" s="5" t="inlineStr">
        <is>
          <t>Belum</t>
        </is>
      </c>
      <c r="E43" s="5" t="inlineStr">
        <is>
          <t>Belum</t>
        </is>
      </c>
      <c r="F43" s="5" t="inlineStr">
        <is>
          <t>Belum</t>
        </is>
      </c>
      <c r="G43" s="5" t="inlineStr">
        <is>
          <t>Belum</t>
        </is>
      </c>
      <c r="H43" s="5" t="inlineStr">
        <is>
          <t>T</t>
        </is>
      </c>
      <c r="I43" s="13">
        <f>COUNTIF(D43:G43, "Selesai")</f>
        <v/>
      </c>
      <c r="J43" s="13">
        <f>IF(H43="Y","E",IF(I43=4,"A",IF(I43=3,"B+",IF(I43=2,"B",IF(I43=1,"D","E")))))</f>
        <v/>
      </c>
      <c r="K43" s="13">
        <f>IF(J43="E","BELUM LULUS","LULUS")</f>
        <v/>
      </c>
    </row>
    <row r="44" ht="22" customHeight="1">
      <c r="A44" s="14" t="n">
        <v>40</v>
      </c>
      <c r="B44" s="14" t="inlineStr"/>
      <c r="C44" s="15" t="inlineStr">
        <is>
          <t>AGIL MAULANA</t>
        </is>
      </c>
      <c r="D44" s="14" t="inlineStr">
        <is>
          <t>Belum</t>
        </is>
      </c>
      <c r="E44" s="14" t="inlineStr">
        <is>
          <t>Belum</t>
        </is>
      </c>
      <c r="F44" s="14" t="inlineStr">
        <is>
          <t>Belum</t>
        </is>
      </c>
      <c r="G44" s="14" t="inlineStr">
        <is>
          <t>Belum</t>
        </is>
      </c>
      <c r="H44" s="14" t="inlineStr">
        <is>
          <t>T</t>
        </is>
      </c>
      <c r="I44" s="16">
        <f>COUNTIF(D44:G44, "Selesai")</f>
        <v/>
      </c>
      <c r="J44" s="16">
        <f>IF(H44="Y","E",IF(I44=4,"A",IF(I44=3,"B+",IF(I44=2,"B",IF(I44=1,"D","E")))))</f>
        <v/>
      </c>
      <c r="K44" s="16">
        <f>IF(J44="E","BELUM LULUS","LULUS")</f>
        <v/>
      </c>
    </row>
    <row r="45" ht="22" customHeight="1">
      <c r="A45" s="5" t="n">
        <v>41</v>
      </c>
      <c r="B45" s="5" t="inlineStr"/>
      <c r="C45" s="12" t="inlineStr">
        <is>
          <t>TUTUR PRYAMBADHA</t>
        </is>
      </c>
      <c r="D45" s="5" t="inlineStr">
        <is>
          <t>Belum</t>
        </is>
      </c>
      <c r="E45" s="5" t="inlineStr">
        <is>
          <t>Belum</t>
        </is>
      </c>
      <c r="F45" s="5" t="inlineStr">
        <is>
          <t>Belum</t>
        </is>
      </c>
      <c r="G45" s="5" t="inlineStr">
        <is>
          <t>Belum</t>
        </is>
      </c>
      <c r="H45" s="5" t="inlineStr">
        <is>
          <t>T</t>
        </is>
      </c>
      <c r="I45" s="13">
        <f>COUNTIF(D45:G45, "Selesai")</f>
        <v/>
      </c>
      <c r="J45" s="13">
        <f>IF(H45="Y","E",IF(I45=4,"A",IF(I45=3,"B+",IF(I45=2,"B",IF(I45=1,"D","E")))))</f>
        <v/>
      </c>
      <c r="K45" s="13">
        <f>IF(J45="E","BELUM LULUS","LULUS")</f>
        <v/>
      </c>
    </row>
    <row r="46" ht="22" customHeight="1">
      <c r="A46" s="14" t="n">
        <v>42</v>
      </c>
      <c r="B46" s="14" t="inlineStr"/>
      <c r="C46" s="15" t="inlineStr">
        <is>
          <t>ILHAM ZAKKI SYAHPUTRA</t>
        </is>
      </c>
      <c r="D46" s="14" t="inlineStr">
        <is>
          <t>Belum</t>
        </is>
      </c>
      <c r="E46" s="14" t="inlineStr">
        <is>
          <t>Belum</t>
        </is>
      </c>
      <c r="F46" s="14" t="inlineStr">
        <is>
          <t>Belum</t>
        </is>
      </c>
      <c r="G46" s="14" t="inlineStr">
        <is>
          <t>Belum</t>
        </is>
      </c>
      <c r="H46" s="14" t="inlineStr">
        <is>
          <t>T</t>
        </is>
      </c>
      <c r="I46" s="16">
        <f>COUNTIF(D46:G46, "Selesai")</f>
        <v/>
      </c>
      <c r="J46" s="16">
        <f>IF(H46="Y","E",IF(I46=4,"A",IF(I46=3,"B+",IF(I46=2,"B",IF(I46=1,"D","E")))))</f>
        <v/>
      </c>
      <c r="K46" s="16">
        <f>IF(J46="E","BELUM LULUS","LULUS")</f>
        <v/>
      </c>
    </row>
    <row r="47" ht="22" customHeight="1">
      <c r="A47" s="5" t="n">
        <v>43</v>
      </c>
      <c r="B47" s="5" t="inlineStr"/>
      <c r="C47" s="12" t="inlineStr">
        <is>
          <t>AHMAD KHADIDI</t>
        </is>
      </c>
      <c r="D47" s="5" t="inlineStr">
        <is>
          <t>Belum</t>
        </is>
      </c>
      <c r="E47" s="5" t="inlineStr">
        <is>
          <t>Belum</t>
        </is>
      </c>
      <c r="F47" s="5" t="inlineStr">
        <is>
          <t>Belum</t>
        </is>
      </c>
      <c r="G47" s="5" t="inlineStr">
        <is>
          <t>Belum</t>
        </is>
      </c>
      <c r="H47" s="5" t="inlineStr">
        <is>
          <t>T</t>
        </is>
      </c>
      <c r="I47" s="13">
        <f>COUNTIF(D47:G47, "Selesai")</f>
        <v/>
      </c>
      <c r="J47" s="13">
        <f>IF(H47="Y","E",IF(I47=4,"A",IF(I47=3,"B+",IF(I47=2,"B",IF(I47=1,"D","E")))))</f>
        <v/>
      </c>
      <c r="K47" s="13">
        <f>IF(J47="E","BELUM LULUS","LULUS")</f>
        <v/>
      </c>
    </row>
    <row r="48" ht="22" customHeight="1">
      <c r="A48" s="14" t="n">
        <v>44</v>
      </c>
      <c r="B48" s="14" t="inlineStr"/>
      <c r="C48" s="15" t="inlineStr">
        <is>
          <t>MUHAMMAD ABEL RADITYA P.</t>
        </is>
      </c>
      <c r="D48" s="14" t="inlineStr">
        <is>
          <t>Belum</t>
        </is>
      </c>
      <c r="E48" s="14" t="inlineStr">
        <is>
          <t>Belum</t>
        </is>
      </c>
      <c r="F48" s="14" t="inlineStr">
        <is>
          <t>Belum</t>
        </is>
      </c>
      <c r="G48" s="14" t="inlineStr">
        <is>
          <t>Belum</t>
        </is>
      </c>
      <c r="H48" s="14" t="inlineStr">
        <is>
          <t>T</t>
        </is>
      </c>
      <c r="I48" s="16">
        <f>COUNTIF(D48:G48, "Selesai")</f>
        <v/>
      </c>
      <c r="J48" s="16">
        <f>IF(H48="Y","E",IF(I48=4,"A",IF(I48=3,"B+",IF(I48=2,"B",IF(I48=1,"D","E")))))</f>
        <v/>
      </c>
      <c r="K48" s="16">
        <f>IF(J48="E","BELUM LULUS","LULUS")</f>
        <v/>
      </c>
    </row>
    <row r="49" ht="22" customHeight="1">
      <c r="A49" s="5" t="n">
        <v>45</v>
      </c>
      <c r="B49" s="5" t="inlineStr"/>
      <c r="C49" s="12" t="inlineStr">
        <is>
          <t>NURWAHDANIA</t>
        </is>
      </c>
      <c r="D49" s="5" t="inlineStr">
        <is>
          <t>Belum</t>
        </is>
      </c>
      <c r="E49" s="5" t="inlineStr">
        <is>
          <t>Belum</t>
        </is>
      </c>
      <c r="F49" s="5" t="inlineStr">
        <is>
          <t>Belum</t>
        </is>
      </c>
      <c r="G49" s="5" t="inlineStr">
        <is>
          <t>Belum</t>
        </is>
      </c>
      <c r="H49" s="5" t="inlineStr">
        <is>
          <t>T</t>
        </is>
      </c>
      <c r="I49" s="13">
        <f>COUNTIF(D49:G49, "Selesai")</f>
        <v/>
      </c>
      <c r="J49" s="13">
        <f>IF(H49="Y","E",IF(I49=4,"A",IF(I49=3,"B+",IF(I49=2,"B",IF(I49=1,"D","E")))))</f>
        <v/>
      </c>
      <c r="K49" s="13">
        <f>IF(J49="E","BELUM LULUS","LULUS")</f>
        <v/>
      </c>
    </row>
    <row r="50" ht="22" customHeight="1">
      <c r="A50" s="14" t="n">
        <v>46</v>
      </c>
      <c r="B50" s="14" t="inlineStr"/>
      <c r="C50" s="15" t="inlineStr">
        <is>
          <t>CHYNTYA KHUNI KHUMAIROH</t>
        </is>
      </c>
      <c r="D50" s="14" t="inlineStr">
        <is>
          <t>Belum</t>
        </is>
      </c>
      <c r="E50" s="14" t="inlineStr">
        <is>
          <t>Belum</t>
        </is>
      </c>
      <c r="F50" s="14" t="inlineStr">
        <is>
          <t>Belum</t>
        </is>
      </c>
      <c r="G50" s="14" t="inlineStr">
        <is>
          <t>Belum</t>
        </is>
      </c>
      <c r="H50" s="14" t="inlineStr">
        <is>
          <t>T</t>
        </is>
      </c>
      <c r="I50" s="16">
        <f>COUNTIF(D50:G50, "Selesai")</f>
        <v/>
      </c>
      <c r="J50" s="16">
        <f>IF(H50="Y","E",IF(I50=4,"A",IF(I50=3,"B+",IF(I50=2,"B",IF(I50=1,"D","E")))))</f>
        <v/>
      </c>
      <c r="K50" s="16">
        <f>IF(J50="E","BELUM LULUS","LULUS")</f>
        <v/>
      </c>
    </row>
    <row r="51" ht="22" customHeight="1">
      <c r="A51" s="5" t="n">
        <v>47</v>
      </c>
      <c r="B51" s="5" t="inlineStr"/>
      <c r="C51" s="12" t="inlineStr">
        <is>
          <t>FAUZAN DIAS KHAIRI</t>
        </is>
      </c>
      <c r="D51" s="5" t="inlineStr">
        <is>
          <t>Belum</t>
        </is>
      </c>
      <c r="E51" s="5" t="inlineStr">
        <is>
          <t>Belum</t>
        </is>
      </c>
      <c r="F51" s="5" t="inlineStr">
        <is>
          <t>Belum</t>
        </is>
      </c>
      <c r="G51" s="5" t="inlineStr">
        <is>
          <t>Belum</t>
        </is>
      </c>
      <c r="H51" s="5" t="inlineStr">
        <is>
          <t>T</t>
        </is>
      </c>
      <c r="I51" s="13">
        <f>COUNTIF(D51:G51, "Selesai")</f>
        <v/>
      </c>
      <c r="J51" s="13">
        <f>IF(H51="Y","E",IF(I51=4,"A",IF(I51=3,"B+",IF(I51=2,"B",IF(I51=1,"D","E")))))</f>
        <v/>
      </c>
      <c r="K51" s="13">
        <f>IF(J51="E","BELUM LULUS","LULUS")</f>
        <v/>
      </c>
    </row>
    <row r="52" ht="22" customHeight="1">
      <c r="A52" s="14" t="n">
        <v>48</v>
      </c>
      <c r="B52" s="14" t="inlineStr"/>
      <c r="C52" s="15" t="inlineStr">
        <is>
          <t>NAJRIL ILHAM</t>
        </is>
      </c>
      <c r="D52" s="14" t="inlineStr">
        <is>
          <t>Belum</t>
        </is>
      </c>
      <c r="E52" s="14" t="inlineStr">
        <is>
          <t>Belum</t>
        </is>
      </c>
      <c r="F52" s="14" t="inlineStr">
        <is>
          <t>Belum</t>
        </is>
      </c>
      <c r="G52" s="14" t="inlineStr">
        <is>
          <t>Belum</t>
        </is>
      </c>
      <c r="H52" s="14" t="inlineStr">
        <is>
          <t>T</t>
        </is>
      </c>
      <c r="I52" s="16">
        <f>COUNTIF(D52:G52, "Selesai")</f>
        <v/>
      </c>
      <c r="J52" s="16">
        <f>IF(H52="Y","E",IF(I52=4,"A",IF(I52=3,"B+",IF(I52=2,"B",IF(I52=1,"D","E")))))</f>
        <v/>
      </c>
      <c r="K52" s="16">
        <f>IF(J52="E","BELUM LULUS","LULUS")</f>
        <v/>
      </c>
    </row>
    <row r="53" ht="22" customHeight="1">
      <c r="A53" s="5" t="n">
        <v>49</v>
      </c>
      <c r="B53" s="5" t="inlineStr"/>
      <c r="C53" s="12" t="inlineStr">
        <is>
          <t>HABIBULLOH HUGA HENDRA S.</t>
        </is>
      </c>
      <c r="D53" s="5" t="inlineStr">
        <is>
          <t>Belum</t>
        </is>
      </c>
      <c r="E53" s="5" t="inlineStr">
        <is>
          <t>Belum</t>
        </is>
      </c>
      <c r="F53" s="5" t="inlineStr">
        <is>
          <t>Belum</t>
        </is>
      </c>
      <c r="G53" s="5" t="inlineStr">
        <is>
          <t>Belum</t>
        </is>
      </c>
      <c r="H53" s="5" t="inlineStr">
        <is>
          <t>T</t>
        </is>
      </c>
      <c r="I53" s="13">
        <f>COUNTIF(D53:G53, "Selesai")</f>
        <v/>
      </c>
      <c r="J53" s="13">
        <f>IF(H53="Y","E",IF(I53=4,"A",IF(I53=3,"B+",IF(I53=2,"B",IF(I53=1,"D","E")))))</f>
        <v/>
      </c>
      <c r="K53" s="13">
        <f>IF(J53="E","BELUM LULUS","LULUS")</f>
        <v/>
      </c>
    </row>
    <row r="54" ht="22" customHeight="1">
      <c r="A54" s="14" t="n">
        <v>50</v>
      </c>
      <c r="B54" s="14" t="inlineStr"/>
      <c r="C54" s="15" t="inlineStr">
        <is>
          <t>ARVIN MAHMUD SANTOSA</t>
        </is>
      </c>
      <c r="D54" s="14" t="inlineStr">
        <is>
          <t>Belum</t>
        </is>
      </c>
      <c r="E54" s="14" t="inlineStr">
        <is>
          <t>Belum</t>
        </is>
      </c>
      <c r="F54" s="14" t="inlineStr">
        <is>
          <t>Belum</t>
        </is>
      </c>
      <c r="G54" s="14" t="inlineStr">
        <is>
          <t>Belum</t>
        </is>
      </c>
      <c r="H54" s="14" t="inlineStr">
        <is>
          <t>T</t>
        </is>
      </c>
      <c r="I54" s="16">
        <f>COUNTIF(D54:G54, "Selesai")</f>
        <v/>
      </c>
      <c r="J54" s="16">
        <f>IF(H54="Y","E",IF(I54=4,"A",IF(I54=3,"B+",IF(I54=2,"B",IF(I54=1,"D","E")))))</f>
        <v/>
      </c>
      <c r="K54" s="16">
        <f>IF(J54="E","BELUM LULUS","LULUS")</f>
        <v/>
      </c>
    </row>
  </sheetData>
  <dataValidations count="2">
    <dataValidation sqref="D5:G54" showDropDown="0" showInputMessage="0" showErrorMessage="0" allowBlank="1" type="list">
      <formula1>"Selesai,Belum"</formula1>
    </dataValidation>
    <dataValidation sqref="H5:H54" showDropDown="0" showInputMessage="0" showErrorMessage="0" allowBlank="1" type="list">
      <formula1>"Y,T"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0" customWidth="1" min="9" max="9"/>
    <col width="14" customWidth="1" min="10" max="10"/>
    <col width="18" customWidth="1" min="11" max="11"/>
  </cols>
  <sheetData>
    <row r="1">
      <c r="A1" s="1" t="inlineStr">
        <is>
          <t>DAFTAR PENILAIAN MAHASISWA RPL 2026 - KELAS G</t>
        </is>
      </c>
    </row>
    <row r="2">
      <c r="A2" s="2" t="inlineStr">
        <is>
          <t>Submission System Terintegrasi (OJS-based) untuk JurnalMu</t>
        </is>
      </c>
    </row>
    <row r="4" ht="28" customHeight="1">
      <c r="A4" s="11" t="inlineStr">
        <is>
          <t>No</t>
        </is>
      </c>
      <c r="B4" s="11" t="inlineStr">
        <is>
          <t>NIM</t>
        </is>
      </c>
      <c r="C4" s="11" t="inlineStr">
        <is>
          <t>Nama Mahasiswa</t>
        </is>
      </c>
      <c r="D4" s="11" t="inlineStr">
        <is>
          <t>Task 1</t>
        </is>
      </c>
      <c r="E4" s="11" t="inlineStr">
        <is>
          <t>Task 2</t>
        </is>
      </c>
      <c r="F4" s="11" t="inlineStr">
        <is>
          <t>Task 3</t>
        </is>
      </c>
      <c r="G4" s="11" t="inlineStr">
        <is>
          <t>Task 4</t>
        </is>
      </c>
      <c r="H4" s="11" t="inlineStr">
        <is>
          <t>Warning Merah</t>
        </is>
      </c>
      <c r="I4" s="11" t="inlineStr">
        <is>
          <t>Total Task Selesai</t>
        </is>
      </c>
      <c r="J4" s="11" t="inlineStr">
        <is>
          <t>Nilai Akhir</t>
        </is>
      </c>
      <c r="K4" s="11" t="inlineStr">
        <is>
          <t>Status</t>
        </is>
      </c>
    </row>
    <row r="5" ht="22" customHeight="1">
      <c r="A5" s="5" t="n">
        <v>1</v>
      </c>
      <c r="B5" s="5" t="inlineStr"/>
      <c r="C5" s="12" t="inlineStr">
        <is>
          <t>ALTAV ELFAZELL</t>
        </is>
      </c>
      <c r="D5" s="5" t="inlineStr">
        <is>
          <t>Belum</t>
        </is>
      </c>
      <c r="E5" s="5" t="inlineStr">
        <is>
          <t>Belum</t>
        </is>
      </c>
      <c r="F5" s="5" t="inlineStr">
        <is>
          <t>Belum</t>
        </is>
      </c>
      <c r="G5" s="5" t="inlineStr">
        <is>
          <t>Belum</t>
        </is>
      </c>
      <c r="H5" s="5" t="inlineStr">
        <is>
          <t>T</t>
        </is>
      </c>
      <c r="I5" s="13">
        <f>COUNTIF(D5:G5, "Selesai")</f>
        <v/>
      </c>
      <c r="J5" s="13">
        <f>IF(H5="Y","E",IF(I5=4,"A",IF(I5=3,"B+",IF(I5=2,"B",IF(I5=1,"D","E")))))</f>
        <v/>
      </c>
      <c r="K5" s="13">
        <f>IF(J5="E","BELUM LULUS","LULUS")</f>
        <v/>
      </c>
    </row>
    <row r="6" ht="22" customHeight="1">
      <c r="A6" s="14" t="n">
        <v>2</v>
      </c>
      <c r="B6" s="14" t="inlineStr"/>
      <c r="C6" s="15" t="inlineStr">
        <is>
          <t>FADLI HAFIZH SIDIQ</t>
        </is>
      </c>
      <c r="D6" s="14" t="inlineStr">
        <is>
          <t>Belum</t>
        </is>
      </c>
      <c r="E6" s="14" t="inlineStr">
        <is>
          <t>Belum</t>
        </is>
      </c>
      <c r="F6" s="14" t="inlineStr">
        <is>
          <t>Belum</t>
        </is>
      </c>
      <c r="G6" s="14" t="inlineStr">
        <is>
          <t>Belum</t>
        </is>
      </c>
      <c r="H6" s="14" t="inlineStr">
        <is>
          <t>T</t>
        </is>
      </c>
      <c r="I6" s="16">
        <f>COUNTIF(D6:G6, "Selesai")</f>
        <v/>
      </c>
      <c r="J6" s="16">
        <f>IF(H6="Y","E",IF(I6=4,"A",IF(I6=3,"B+",IF(I6=2,"B",IF(I6=1,"D","E")))))</f>
        <v/>
      </c>
      <c r="K6" s="16">
        <f>IF(J6="E","BELUM LULUS","LULUS")</f>
        <v/>
      </c>
    </row>
    <row r="7" ht="22" customHeight="1">
      <c r="A7" s="5" t="n">
        <v>3</v>
      </c>
      <c r="B7" s="5" t="inlineStr"/>
      <c r="C7" s="12" t="inlineStr">
        <is>
          <t>HANIF FALAH KURNIAWAN</t>
        </is>
      </c>
      <c r="D7" s="5" t="inlineStr">
        <is>
          <t>Belum</t>
        </is>
      </c>
      <c r="E7" s="5" t="inlineStr">
        <is>
          <t>Belum</t>
        </is>
      </c>
      <c r="F7" s="5" t="inlineStr">
        <is>
          <t>Belum</t>
        </is>
      </c>
      <c r="G7" s="5" t="inlineStr">
        <is>
          <t>Belum</t>
        </is>
      </c>
      <c r="H7" s="5" t="inlineStr">
        <is>
          <t>T</t>
        </is>
      </c>
      <c r="I7" s="13">
        <f>COUNTIF(D7:G7, "Selesai")</f>
        <v/>
      </c>
      <c r="J7" s="13">
        <f>IF(H7="Y","E",IF(I7=4,"A",IF(I7=3,"B+",IF(I7=2,"B",IF(I7=1,"D","E")))))</f>
        <v/>
      </c>
      <c r="K7" s="13">
        <f>IF(J7="E","BELUM LULUS","LULUS")</f>
        <v/>
      </c>
    </row>
    <row r="8" ht="22" customHeight="1">
      <c r="A8" s="14" t="n">
        <v>4</v>
      </c>
      <c r="B8" s="14" t="inlineStr"/>
      <c r="C8" s="15" t="inlineStr">
        <is>
          <t>ADITIYA SUBAKTI</t>
        </is>
      </c>
      <c r="D8" s="14" t="inlineStr">
        <is>
          <t>Belum</t>
        </is>
      </c>
      <c r="E8" s="14" t="inlineStr">
        <is>
          <t>Belum</t>
        </is>
      </c>
      <c r="F8" s="14" t="inlineStr">
        <is>
          <t>Belum</t>
        </is>
      </c>
      <c r="G8" s="14" t="inlineStr">
        <is>
          <t>Belum</t>
        </is>
      </c>
      <c r="H8" s="14" t="inlineStr">
        <is>
          <t>T</t>
        </is>
      </c>
      <c r="I8" s="16">
        <f>COUNTIF(D8:G8, "Selesai")</f>
        <v/>
      </c>
      <c r="J8" s="16">
        <f>IF(H8="Y","E",IF(I8=4,"A",IF(I8=3,"B+",IF(I8=2,"B",IF(I8=1,"D","E")))))</f>
        <v/>
      </c>
      <c r="K8" s="16">
        <f>IF(J8="E","BELUM LULUS","LULUS")</f>
        <v/>
      </c>
    </row>
    <row r="9" ht="22" customHeight="1">
      <c r="A9" s="5" t="n">
        <v>5</v>
      </c>
      <c r="B9" s="5" t="inlineStr"/>
      <c r="C9" s="12" t="inlineStr">
        <is>
          <t>ADITYA GAUTAMA</t>
        </is>
      </c>
      <c r="D9" s="5" t="inlineStr">
        <is>
          <t>Belum</t>
        </is>
      </c>
      <c r="E9" s="5" t="inlineStr">
        <is>
          <t>Belum</t>
        </is>
      </c>
      <c r="F9" s="5" t="inlineStr">
        <is>
          <t>Belum</t>
        </is>
      </c>
      <c r="G9" s="5" t="inlineStr">
        <is>
          <t>Belum</t>
        </is>
      </c>
      <c r="H9" s="5" t="inlineStr">
        <is>
          <t>T</t>
        </is>
      </c>
      <c r="I9" s="13">
        <f>COUNTIF(D9:G9, "Selesai")</f>
        <v/>
      </c>
      <c r="J9" s="13">
        <f>IF(H9="Y","E",IF(I9=4,"A",IF(I9=3,"B+",IF(I9=2,"B",IF(I9=1,"D","E")))))</f>
        <v/>
      </c>
      <c r="K9" s="13">
        <f>IF(J9="E","BELUM LULUS","LULUS")</f>
        <v/>
      </c>
    </row>
    <row r="10" ht="22" customHeight="1">
      <c r="A10" s="14" t="n">
        <v>6</v>
      </c>
      <c r="B10" s="14" t="inlineStr"/>
      <c r="C10" s="15" t="inlineStr">
        <is>
          <t>MUHAMMAD DZAKY MUAYYAD</t>
        </is>
      </c>
      <c r="D10" s="14" t="inlineStr">
        <is>
          <t>Belum</t>
        </is>
      </c>
      <c r="E10" s="14" t="inlineStr">
        <is>
          <t>Belum</t>
        </is>
      </c>
      <c r="F10" s="14" t="inlineStr">
        <is>
          <t>Belum</t>
        </is>
      </c>
      <c r="G10" s="14" t="inlineStr">
        <is>
          <t>Belum</t>
        </is>
      </c>
      <c r="H10" s="14" t="inlineStr">
        <is>
          <t>T</t>
        </is>
      </c>
      <c r="I10" s="16">
        <f>COUNTIF(D10:G10, "Selesai")</f>
        <v/>
      </c>
      <c r="J10" s="16">
        <f>IF(H10="Y","E",IF(I10=4,"A",IF(I10=3,"B+",IF(I10=2,"B",IF(I10=1,"D","E")))))</f>
        <v/>
      </c>
      <c r="K10" s="16">
        <f>IF(J10="E","BELUM LULUS","LULUS")</f>
        <v/>
      </c>
    </row>
    <row r="11" ht="22" customHeight="1">
      <c r="A11" s="5" t="n">
        <v>7</v>
      </c>
      <c r="B11" s="5" t="inlineStr"/>
      <c r="C11" s="12" t="inlineStr">
        <is>
          <t>HARYANSYAH DWI NUGROHO</t>
        </is>
      </c>
      <c r="D11" s="5" t="inlineStr">
        <is>
          <t>Belum</t>
        </is>
      </c>
      <c r="E11" s="5" t="inlineStr">
        <is>
          <t>Belum</t>
        </is>
      </c>
      <c r="F11" s="5" t="inlineStr">
        <is>
          <t>Belum</t>
        </is>
      </c>
      <c r="G11" s="5" t="inlineStr">
        <is>
          <t>Belum</t>
        </is>
      </c>
      <c r="H11" s="5" t="inlineStr">
        <is>
          <t>T</t>
        </is>
      </c>
      <c r="I11" s="13">
        <f>COUNTIF(D11:G11, "Selesai")</f>
        <v/>
      </c>
      <c r="J11" s="13">
        <f>IF(H11="Y","E",IF(I11=4,"A",IF(I11=3,"B+",IF(I11=2,"B",IF(I11=1,"D","E")))))</f>
        <v/>
      </c>
      <c r="K11" s="13">
        <f>IF(J11="E","BELUM LULUS","LULUS")</f>
        <v/>
      </c>
    </row>
    <row r="12" ht="22" customHeight="1">
      <c r="A12" s="14" t="n">
        <v>8</v>
      </c>
      <c r="B12" s="14" t="inlineStr"/>
      <c r="C12" s="15" t="inlineStr">
        <is>
          <t>ARIEL ZIJANT ATHALLAH</t>
        </is>
      </c>
      <c r="D12" s="14" t="inlineStr">
        <is>
          <t>Belum</t>
        </is>
      </c>
      <c r="E12" s="14" t="inlineStr">
        <is>
          <t>Belum</t>
        </is>
      </c>
      <c r="F12" s="14" t="inlineStr">
        <is>
          <t>Belum</t>
        </is>
      </c>
      <c r="G12" s="14" t="inlineStr">
        <is>
          <t>Belum</t>
        </is>
      </c>
      <c r="H12" s="14" t="inlineStr">
        <is>
          <t>T</t>
        </is>
      </c>
      <c r="I12" s="16">
        <f>COUNTIF(D12:G12, "Selesai")</f>
        <v/>
      </c>
      <c r="J12" s="16">
        <f>IF(H12="Y","E",IF(I12=4,"A",IF(I12=3,"B+",IF(I12=2,"B",IF(I12=1,"D","E")))))</f>
        <v/>
      </c>
      <c r="K12" s="16">
        <f>IF(J12="E","BELUM LULUS","LULUS")</f>
        <v/>
      </c>
    </row>
    <row r="13" ht="22" customHeight="1">
      <c r="A13" s="5" t="n">
        <v>9</v>
      </c>
      <c r="B13" s="5" t="inlineStr"/>
      <c r="C13" s="12" t="inlineStr">
        <is>
          <t>MUHAMMAD FADLI NOOR HIDAYATULLAH</t>
        </is>
      </c>
      <c r="D13" s="5" t="inlineStr">
        <is>
          <t>Belum</t>
        </is>
      </c>
      <c r="E13" s="5" t="inlineStr">
        <is>
          <t>Belum</t>
        </is>
      </c>
      <c r="F13" s="5" t="inlineStr">
        <is>
          <t>Belum</t>
        </is>
      </c>
      <c r="G13" s="5" t="inlineStr">
        <is>
          <t>Belum</t>
        </is>
      </c>
      <c r="H13" s="5" t="inlineStr">
        <is>
          <t>T</t>
        </is>
      </c>
      <c r="I13" s="13">
        <f>COUNTIF(D13:G13, "Selesai")</f>
        <v/>
      </c>
      <c r="J13" s="13">
        <f>IF(H13="Y","E",IF(I13=4,"A",IF(I13=3,"B+",IF(I13=2,"B",IF(I13=1,"D","E")))))</f>
        <v/>
      </c>
      <c r="K13" s="13">
        <f>IF(J13="E","BELUM LULUS","LULUS")</f>
        <v/>
      </c>
    </row>
    <row r="14" ht="22" customHeight="1">
      <c r="A14" s="14" t="n">
        <v>10</v>
      </c>
      <c r="B14" s="14" t="inlineStr"/>
      <c r="C14" s="15" t="inlineStr">
        <is>
          <t>FAUZAN SADIDA RAMADHAN</t>
        </is>
      </c>
      <c r="D14" s="14" t="inlineStr">
        <is>
          <t>Belum</t>
        </is>
      </c>
      <c r="E14" s="14" t="inlineStr">
        <is>
          <t>Belum</t>
        </is>
      </c>
      <c r="F14" s="14" t="inlineStr">
        <is>
          <t>Belum</t>
        </is>
      </c>
      <c r="G14" s="14" t="inlineStr">
        <is>
          <t>Belum</t>
        </is>
      </c>
      <c r="H14" s="14" t="inlineStr">
        <is>
          <t>T</t>
        </is>
      </c>
      <c r="I14" s="16">
        <f>COUNTIF(D14:G14, "Selesai")</f>
        <v/>
      </c>
      <c r="J14" s="16">
        <f>IF(H14="Y","E",IF(I14=4,"A",IF(I14=3,"B+",IF(I14=2,"B",IF(I14=1,"D","E")))))</f>
        <v/>
      </c>
      <c r="K14" s="16">
        <f>IF(J14="E","BELUM LULUS","LULUS")</f>
        <v/>
      </c>
    </row>
    <row r="15" ht="22" customHeight="1">
      <c r="A15" s="5" t="n">
        <v>11</v>
      </c>
      <c r="B15" s="5" t="inlineStr"/>
      <c r="C15" s="12" t="inlineStr">
        <is>
          <t>DZAKY RIDHWAN ROSYADA</t>
        </is>
      </c>
      <c r="D15" s="5" t="inlineStr">
        <is>
          <t>Belum</t>
        </is>
      </c>
      <c r="E15" s="5" t="inlineStr">
        <is>
          <t>Belum</t>
        </is>
      </c>
      <c r="F15" s="5" t="inlineStr">
        <is>
          <t>Belum</t>
        </is>
      </c>
      <c r="G15" s="5" t="inlineStr">
        <is>
          <t>Belum</t>
        </is>
      </c>
      <c r="H15" s="5" t="inlineStr">
        <is>
          <t>T</t>
        </is>
      </c>
      <c r="I15" s="13">
        <f>COUNTIF(D15:G15, "Selesai")</f>
        <v/>
      </c>
      <c r="J15" s="13">
        <f>IF(H15="Y","E",IF(I15=4,"A",IF(I15=3,"B+",IF(I15=2,"B",IF(I15=1,"D","E")))))</f>
        <v/>
      </c>
      <c r="K15" s="13">
        <f>IF(J15="E","BELUM LULUS","LULUS")</f>
        <v/>
      </c>
    </row>
    <row r="16" ht="22" customHeight="1">
      <c r="A16" s="14" t="n">
        <v>12</v>
      </c>
      <c r="B16" s="14" t="inlineStr"/>
      <c r="C16" s="15" t="inlineStr">
        <is>
          <t>ADITYA BINTANG RIANDA SYAHPUTRA</t>
        </is>
      </c>
      <c r="D16" s="14" t="inlineStr">
        <is>
          <t>Belum</t>
        </is>
      </c>
      <c r="E16" s="14" t="inlineStr">
        <is>
          <t>Belum</t>
        </is>
      </c>
      <c r="F16" s="14" t="inlineStr">
        <is>
          <t>Belum</t>
        </is>
      </c>
      <c r="G16" s="14" t="inlineStr">
        <is>
          <t>Belum</t>
        </is>
      </c>
      <c r="H16" s="14" t="inlineStr">
        <is>
          <t>T</t>
        </is>
      </c>
      <c r="I16" s="16">
        <f>COUNTIF(D16:G16, "Selesai")</f>
        <v/>
      </c>
      <c r="J16" s="16">
        <f>IF(H16="Y","E",IF(I16=4,"A",IF(I16=3,"B+",IF(I16=2,"B",IF(I16=1,"D","E")))))</f>
        <v/>
      </c>
      <c r="K16" s="16">
        <f>IF(J16="E","BELUM LULUS","LULUS")</f>
        <v/>
      </c>
    </row>
    <row r="17" ht="22" customHeight="1">
      <c r="A17" s="5" t="n">
        <v>13</v>
      </c>
      <c r="B17" s="5" t="inlineStr"/>
      <c r="C17" s="12" t="inlineStr">
        <is>
          <t>AFIF HADRIANSYAH</t>
        </is>
      </c>
      <c r="D17" s="5" t="inlineStr">
        <is>
          <t>Belum</t>
        </is>
      </c>
      <c r="E17" s="5" t="inlineStr">
        <is>
          <t>Belum</t>
        </is>
      </c>
      <c r="F17" s="5" t="inlineStr">
        <is>
          <t>Belum</t>
        </is>
      </c>
      <c r="G17" s="5" t="inlineStr">
        <is>
          <t>Belum</t>
        </is>
      </c>
      <c r="H17" s="5" t="inlineStr">
        <is>
          <t>T</t>
        </is>
      </c>
      <c r="I17" s="13">
        <f>COUNTIF(D17:G17, "Selesai")</f>
        <v/>
      </c>
      <c r="J17" s="13">
        <f>IF(H17="Y","E",IF(I17=4,"A",IF(I17=3,"B+",IF(I17=2,"B",IF(I17=1,"D","E")))))</f>
        <v/>
      </c>
      <c r="K17" s="13">
        <f>IF(J17="E","BELUM LULUS","LULUS")</f>
        <v/>
      </c>
    </row>
    <row r="18" ht="22" customHeight="1">
      <c r="A18" s="14" t="n">
        <v>14</v>
      </c>
      <c r="B18" s="14" t="inlineStr"/>
      <c r="C18" s="15" t="inlineStr">
        <is>
          <t>MUHAMMAD IRFAN HABIBI</t>
        </is>
      </c>
      <c r="D18" s="14" t="inlineStr">
        <is>
          <t>Belum</t>
        </is>
      </c>
      <c r="E18" s="14" t="inlineStr">
        <is>
          <t>Belum</t>
        </is>
      </c>
      <c r="F18" s="14" t="inlineStr">
        <is>
          <t>Belum</t>
        </is>
      </c>
      <c r="G18" s="14" t="inlineStr">
        <is>
          <t>Belum</t>
        </is>
      </c>
      <c r="H18" s="14" t="inlineStr">
        <is>
          <t>T</t>
        </is>
      </c>
      <c r="I18" s="16">
        <f>COUNTIF(D18:G18, "Selesai")</f>
        <v/>
      </c>
      <c r="J18" s="16">
        <f>IF(H18="Y","E",IF(I18=4,"A",IF(I18=3,"B+",IF(I18=2,"B",IF(I18=1,"D","E")))))</f>
        <v/>
      </c>
      <c r="K18" s="16">
        <f>IF(J18="E","BELUM LULUS","LULUS")</f>
        <v/>
      </c>
    </row>
    <row r="19" ht="22" customHeight="1">
      <c r="A19" s="5" t="n">
        <v>15</v>
      </c>
      <c r="B19" s="5" t="inlineStr"/>
      <c r="C19" s="12" t="inlineStr">
        <is>
          <t>M. ILHAM NURDIN</t>
        </is>
      </c>
      <c r="D19" s="5" t="inlineStr">
        <is>
          <t>Belum</t>
        </is>
      </c>
      <c r="E19" s="5" t="inlineStr">
        <is>
          <t>Belum</t>
        </is>
      </c>
      <c r="F19" s="5" t="inlineStr">
        <is>
          <t>Belum</t>
        </is>
      </c>
      <c r="G19" s="5" t="inlineStr">
        <is>
          <t>Belum</t>
        </is>
      </c>
      <c r="H19" s="5" t="inlineStr">
        <is>
          <t>T</t>
        </is>
      </c>
      <c r="I19" s="13">
        <f>COUNTIF(D19:G19, "Selesai")</f>
        <v/>
      </c>
      <c r="J19" s="13">
        <f>IF(H19="Y","E",IF(I19=4,"A",IF(I19=3,"B+",IF(I19=2,"B",IF(I19=1,"D","E")))))</f>
        <v/>
      </c>
      <c r="K19" s="13">
        <f>IF(J19="E","BELUM LULUS","LULUS")</f>
        <v/>
      </c>
    </row>
    <row r="20" ht="22" customHeight="1">
      <c r="A20" s="14" t="n">
        <v>16</v>
      </c>
      <c r="B20" s="14" t="inlineStr"/>
      <c r="C20" s="15" t="inlineStr">
        <is>
          <t>PRIMUS UTAMA SATYA</t>
        </is>
      </c>
      <c r="D20" s="14" t="inlineStr">
        <is>
          <t>Belum</t>
        </is>
      </c>
      <c r="E20" s="14" t="inlineStr">
        <is>
          <t>Belum</t>
        </is>
      </c>
      <c r="F20" s="14" t="inlineStr">
        <is>
          <t>Belum</t>
        </is>
      </c>
      <c r="G20" s="14" t="inlineStr">
        <is>
          <t>Belum</t>
        </is>
      </c>
      <c r="H20" s="14" t="inlineStr">
        <is>
          <t>T</t>
        </is>
      </c>
      <c r="I20" s="16">
        <f>COUNTIF(D20:G20, "Selesai")</f>
        <v/>
      </c>
      <c r="J20" s="16">
        <f>IF(H20="Y","E",IF(I20=4,"A",IF(I20=3,"B+",IF(I20=2,"B",IF(I20=1,"D","E")))))</f>
        <v/>
      </c>
      <c r="K20" s="16">
        <f>IF(J20="E","BELUM LULUS","LULUS")</f>
        <v/>
      </c>
    </row>
    <row r="21" ht="22" customHeight="1">
      <c r="A21" s="5" t="n">
        <v>17</v>
      </c>
      <c r="B21" s="5" t="inlineStr"/>
      <c r="C21" s="12" t="inlineStr">
        <is>
          <t>FUAD NURYANDITO</t>
        </is>
      </c>
      <c r="D21" s="5" t="inlineStr">
        <is>
          <t>Belum</t>
        </is>
      </c>
      <c r="E21" s="5" t="inlineStr">
        <is>
          <t>Belum</t>
        </is>
      </c>
      <c r="F21" s="5" t="inlineStr">
        <is>
          <t>Belum</t>
        </is>
      </c>
      <c r="G21" s="5" t="inlineStr">
        <is>
          <t>Belum</t>
        </is>
      </c>
      <c r="H21" s="5" t="inlineStr">
        <is>
          <t>T</t>
        </is>
      </c>
      <c r="I21" s="13">
        <f>COUNTIF(D21:G21, "Selesai")</f>
        <v/>
      </c>
      <c r="J21" s="13">
        <f>IF(H21="Y","E",IF(I21=4,"A",IF(I21=3,"B+",IF(I21=2,"B",IF(I21=1,"D","E")))))</f>
        <v/>
      </c>
      <c r="K21" s="13">
        <f>IF(J21="E","BELUM LULUS","LULUS")</f>
        <v/>
      </c>
    </row>
    <row r="22" ht="22" customHeight="1">
      <c r="A22" s="14" t="n">
        <v>18</v>
      </c>
      <c r="B22" s="14" t="inlineStr"/>
      <c r="C22" s="15" t="inlineStr">
        <is>
          <t>AGNES PUTRI ALFALAHI</t>
        </is>
      </c>
      <c r="D22" s="14" t="inlineStr">
        <is>
          <t>Belum</t>
        </is>
      </c>
      <c r="E22" s="14" t="inlineStr">
        <is>
          <t>Belum</t>
        </is>
      </c>
      <c r="F22" s="14" t="inlineStr">
        <is>
          <t>Belum</t>
        </is>
      </c>
      <c r="G22" s="14" t="inlineStr">
        <is>
          <t>Belum</t>
        </is>
      </c>
      <c r="H22" s="14" t="inlineStr">
        <is>
          <t>T</t>
        </is>
      </c>
      <c r="I22" s="16">
        <f>COUNTIF(D22:G22, "Selesai")</f>
        <v/>
      </c>
      <c r="J22" s="16">
        <f>IF(H22="Y","E",IF(I22=4,"A",IF(I22=3,"B+",IF(I22=2,"B",IF(I22=1,"D","E")))))</f>
        <v/>
      </c>
      <c r="K22" s="16">
        <f>IF(J22="E","BELUM LULUS","LULUS")</f>
        <v/>
      </c>
    </row>
    <row r="23" ht="22" customHeight="1">
      <c r="A23" s="5" t="n">
        <v>19</v>
      </c>
      <c r="B23" s="5" t="inlineStr"/>
      <c r="C23" s="12" t="inlineStr">
        <is>
          <t>MUHAMMAD RIZQI AKBAR HIDAYAT</t>
        </is>
      </c>
      <c r="D23" s="5" t="inlineStr">
        <is>
          <t>Belum</t>
        </is>
      </c>
      <c r="E23" s="5" t="inlineStr">
        <is>
          <t>Belum</t>
        </is>
      </c>
      <c r="F23" s="5" t="inlineStr">
        <is>
          <t>Belum</t>
        </is>
      </c>
      <c r="G23" s="5" t="inlineStr">
        <is>
          <t>Belum</t>
        </is>
      </c>
      <c r="H23" s="5" t="inlineStr">
        <is>
          <t>T</t>
        </is>
      </c>
      <c r="I23" s="13">
        <f>COUNTIF(D23:G23, "Selesai")</f>
        <v/>
      </c>
      <c r="J23" s="13">
        <f>IF(H23="Y","E",IF(I23=4,"A",IF(I23=3,"B+",IF(I23=2,"B",IF(I23=1,"D","E")))))</f>
        <v/>
      </c>
      <c r="K23" s="13">
        <f>IF(J23="E","BELUM LULUS","LULUS")</f>
        <v/>
      </c>
    </row>
    <row r="24" ht="22" customHeight="1">
      <c r="A24" s="14" t="n">
        <v>20</v>
      </c>
      <c r="B24" s="14" t="inlineStr"/>
      <c r="C24" s="15" t="inlineStr">
        <is>
          <t>RIFAI AIHUNAN</t>
        </is>
      </c>
      <c r="D24" s="14" t="inlineStr">
        <is>
          <t>Belum</t>
        </is>
      </c>
      <c r="E24" s="14" t="inlineStr">
        <is>
          <t>Belum</t>
        </is>
      </c>
      <c r="F24" s="14" t="inlineStr">
        <is>
          <t>Belum</t>
        </is>
      </c>
      <c r="G24" s="14" t="inlineStr">
        <is>
          <t>Belum</t>
        </is>
      </c>
      <c r="H24" s="14" t="inlineStr">
        <is>
          <t>T</t>
        </is>
      </c>
      <c r="I24" s="16">
        <f>COUNTIF(D24:G24, "Selesai")</f>
        <v/>
      </c>
      <c r="J24" s="16">
        <f>IF(H24="Y","E",IF(I24=4,"A",IF(I24=3,"B+",IF(I24=2,"B",IF(I24=1,"D","E")))))</f>
        <v/>
      </c>
      <c r="K24" s="16">
        <f>IF(J24="E","BELUM LULUS","LULUS")</f>
        <v/>
      </c>
    </row>
    <row r="25" ht="22" customHeight="1">
      <c r="A25" s="5" t="n">
        <v>21</v>
      </c>
      <c r="B25" s="5" t="inlineStr"/>
      <c r="C25" s="12" t="inlineStr">
        <is>
          <t>FARID RIZQULLOH SAPUTRA</t>
        </is>
      </c>
      <c r="D25" s="5" t="inlineStr">
        <is>
          <t>Belum</t>
        </is>
      </c>
      <c r="E25" s="5" t="inlineStr">
        <is>
          <t>Belum</t>
        </is>
      </c>
      <c r="F25" s="5" t="inlineStr">
        <is>
          <t>Belum</t>
        </is>
      </c>
      <c r="G25" s="5" t="inlineStr">
        <is>
          <t>Belum</t>
        </is>
      </c>
      <c r="H25" s="5" t="inlineStr">
        <is>
          <t>T</t>
        </is>
      </c>
      <c r="I25" s="13">
        <f>COUNTIF(D25:G25, "Selesai")</f>
        <v/>
      </c>
      <c r="J25" s="13">
        <f>IF(H25="Y","E",IF(I25=4,"A",IF(I25=3,"B+",IF(I25=2,"B",IF(I25=1,"D","E")))))</f>
        <v/>
      </c>
      <c r="K25" s="13">
        <f>IF(J25="E","BELUM LULUS","LULUS")</f>
        <v/>
      </c>
    </row>
    <row r="26" ht="22" customHeight="1">
      <c r="A26" s="14" t="n">
        <v>22</v>
      </c>
      <c r="B26" s="14" t="inlineStr"/>
      <c r="C26" s="15" t="inlineStr">
        <is>
          <t>MOHAMAD ARYA FARIZKY</t>
        </is>
      </c>
      <c r="D26" s="14" t="inlineStr">
        <is>
          <t>Belum</t>
        </is>
      </c>
      <c r="E26" s="14" t="inlineStr">
        <is>
          <t>Belum</t>
        </is>
      </c>
      <c r="F26" s="14" t="inlineStr">
        <is>
          <t>Belum</t>
        </is>
      </c>
      <c r="G26" s="14" t="inlineStr">
        <is>
          <t>Belum</t>
        </is>
      </c>
      <c r="H26" s="14" t="inlineStr">
        <is>
          <t>T</t>
        </is>
      </c>
      <c r="I26" s="16">
        <f>COUNTIF(D26:G26, "Selesai")</f>
        <v/>
      </c>
      <c r="J26" s="16">
        <f>IF(H26="Y","E",IF(I26=4,"A",IF(I26=3,"B+",IF(I26=2,"B",IF(I26=1,"D","E")))))</f>
        <v/>
      </c>
      <c r="K26" s="16">
        <f>IF(J26="E","BELUM LULUS","LULUS")</f>
        <v/>
      </c>
    </row>
    <row r="27" ht="22" customHeight="1">
      <c r="A27" s="5" t="n">
        <v>23</v>
      </c>
      <c r="B27" s="5" t="inlineStr"/>
      <c r="C27" s="12" t="inlineStr">
        <is>
          <t>ANDRA PUTRA DANISWARA LAMATO</t>
        </is>
      </c>
      <c r="D27" s="5" t="inlineStr">
        <is>
          <t>Belum</t>
        </is>
      </c>
      <c r="E27" s="5" t="inlineStr">
        <is>
          <t>Belum</t>
        </is>
      </c>
      <c r="F27" s="5" t="inlineStr">
        <is>
          <t>Belum</t>
        </is>
      </c>
      <c r="G27" s="5" t="inlineStr">
        <is>
          <t>Belum</t>
        </is>
      </c>
      <c r="H27" s="5" t="inlineStr">
        <is>
          <t>T</t>
        </is>
      </c>
      <c r="I27" s="13">
        <f>COUNTIF(D27:G27, "Selesai")</f>
        <v/>
      </c>
      <c r="J27" s="13">
        <f>IF(H27="Y","E",IF(I27=4,"A",IF(I27=3,"B+",IF(I27=2,"B",IF(I27=1,"D","E")))))</f>
        <v/>
      </c>
      <c r="K27" s="13">
        <f>IF(J27="E","BELUM LULUS","LULUS")</f>
        <v/>
      </c>
    </row>
    <row r="28" ht="22" customHeight="1">
      <c r="A28" s="14" t="n">
        <v>24</v>
      </c>
      <c r="B28" s="14" t="inlineStr"/>
      <c r="C28" s="15" t="inlineStr">
        <is>
          <t>SEPTIAN EKO NUGROHO</t>
        </is>
      </c>
      <c r="D28" s="14" t="inlineStr">
        <is>
          <t>Belum</t>
        </is>
      </c>
      <c r="E28" s="14" t="inlineStr">
        <is>
          <t>Belum</t>
        </is>
      </c>
      <c r="F28" s="14" t="inlineStr">
        <is>
          <t>Belum</t>
        </is>
      </c>
      <c r="G28" s="14" t="inlineStr">
        <is>
          <t>Belum</t>
        </is>
      </c>
      <c r="H28" s="14" t="inlineStr">
        <is>
          <t>T</t>
        </is>
      </c>
      <c r="I28" s="16">
        <f>COUNTIF(D28:G28, "Selesai")</f>
        <v/>
      </c>
      <c r="J28" s="16">
        <f>IF(H28="Y","E",IF(I28=4,"A",IF(I28=3,"B+",IF(I28=2,"B",IF(I28=1,"D","E")))))</f>
        <v/>
      </c>
      <c r="K28" s="16">
        <f>IF(J28="E","BELUM LULUS","LULUS")</f>
        <v/>
      </c>
    </row>
    <row r="29" ht="22" customHeight="1">
      <c r="A29" s="5" t="n">
        <v>25</v>
      </c>
      <c r="B29" s="5" t="inlineStr"/>
      <c r="C29" s="12" t="inlineStr">
        <is>
          <t>MUHAMMAD AULIA LUTHFI</t>
        </is>
      </c>
      <c r="D29" s="5" t="inlineStr">
        <is>
          <t>Belum</t>
        </is>
      </c>
      <c r="E29" s="5" t="inlineStr">
        <is>
          <t>Belum</t>
        </is>
      </c>
      <c r="F29" s="5" t="inlineStr">
        <is>
          <t>Belum</t>
        </is>
      </c>
      <c r="G29" s="5" t="inlineStr">
        <is>
          <t>Belum</t>
        </is>
      </c>
      <c r="H29" s="5" t="inlineStr">
        <is>
          <t>T</t>
        </is>
      </c>
      <c r="I29" s="13">
        <f>COUNTIF(D29:G29, "Selesai")</f>
        <v/>
      </c>
      <c r="J29" s="13">
        <f>IF(H29="Y","E",IF(I29=4,"A",IF(I29=3,"B+",IF(I29=2,"B",IF(I29=1,"D","E")))))</f>
        <v/>
      </c>
      <c r="K29" s="13">
        <f>IF(J29="E","BELUM LULUS","LULUS")</f>
        <v/>
      </c>
    </row>
    <row r="30" ht="22" customHeight="1">
      <c r="A30" s="14" t="n">
        <v>26</v>
      </c>
      <c r="B30" s="14" t="inlineStr"/>
      <c r="C30" s="15" t="inlineStr">
        <is>
          <t>KUKUH YOGI PANGESTU</t>
        </is>
      </c>
      <c r="D30" s="14" t="inlineStr">
        <is>
          <t>Belum</t>
        </is>
      </c>
      <c r="E30" s="14" t="inlineStr">
        <is>
          <t>Belum</t>
        </is>
      </c>
      <c r="F30" s="14" t="inlineStr">
        <is>
          <t>Belum</t>
        </is>
      </c>
      <c r="G30" s="14" t="inlineStr">
        <is>
          <t>Belum</t>
        </is>
      </c>
      <c r="H30" s="14" t="inlineStr">
        <is>
          <t>T</t>
        </is>
      </c>
      <c r="I30" s="16">
        <f>COUNTIF(D30:G30, "Selesai")</f>
        <v/>
      </c>
      <c r="J30" s="16">
        <f>IF(H30="Y","E",IF(I30=4,"A",IF(I30=3,"B+",IF(I30=2,"B",IF(I30=1,"D","E")))))</f>
        <v/>
      </c>
      <c r="K30" s="16">
        <f>IF(J30="E","BELUM LULUS","LULUS")</f>
        <v/>
      </c>
    </row>
    <row r="31" ht="22" customHeight="1">
      <c r="A31" s="5" t="n">
        <v>27</v>
      </c>
      <c r="B31" s="5" t="inlineStr"/>
      <c r="C31" s="12" t="inlineStr">
        <is>
          <t>HAFIDZ CHAIRUL AMIN</t>
        </is>
      </c>
      <c r="D31" s="5" t="inlineStr">
        <is>
          <t>Belum</t>
        </is>
      </c>
      <c r="E31" s="5" t="inlineStr">
        <is>
          <t>Belum</t>
        </is>
      </c>
      <c r="F31" s="5" t="inlineStr">
        <is>
          <t>Belum</t>
        </is>
      </c>
      <c r="G31" s="5" t="inlineStr">
        <is>
          <t>Belum</t>
        </is>
      </c>
      <c r="H31" s="5" t="inlineStr">
        <is>
          <t>T</t>
        </is>
      </c>
      <c r="I31" s="13">
        <f>COUNTIF(D31:G31, "Selesai")</f>
        <v/>
      </c>
      <c r="J31" s="13">
        <f>IF(H31="Y","E",IF(I31=4,"A",IF(I31=3,"B+",IF(I31=2,"B",IF(I31=1,"D","E")))))</f>
        <v/>
      </c>
      <c r="K31" s="13">
        <f>IF(J31="E","BELUM LULUS","LULUS")</f>
        <v/>
      </c>
    </row>
    <row r="32" ht="22" customHeight="1">
      <c r="A32" s="14" t="n">
        <v>28</v>
      </c>
      <c r="B32" s="14" t="inlineStr"/>
      <c r="C32" s="15" t="inlineStr">
        <is>
          <t>ALFIN AHMAD JUNIAR</t>
        </is>
      </c>
      <c r="D32" s="14" t="inlineStr">
        <is>
          <t>Belum</t>
        </is>
      </c>
      <c r="E32" s="14" t="inlineStr">
        <is>
          <t>Belum</t>
        </is>
      </c>
      <c r="F32" s="14" t="inlineStr">
        <is>
          <t>Belum</t>
        </is>
      </c>
      <c r="G32" s="14" t="inlineStr">
        <is>
          <t>Belum</t>
        </is>
      </c>
      <c r="H32" s="14" t="inlineStr">
        <is>
          <t>T</t>
        </is>
      </c>
      <c r="I32" s="16">
        <f>COUNTIF(D32:G32, "Selesai")</f>
        <v/>
      </c>
      <c r="J32" s="16">
        <f>IF(H32="Y","E",IF(I32=4,"A",IF(I32=3,"B+",IF(I32=2,"B",IF(I32=1,"D","E")))))</f>
        <v/>
      </c>
      <c r="K32" s="16">
        <f>IF(J32="E","BELUM LULUS","LULUS")</f>
        <v/>
      </c>
    </row>
    <row r="33" ht="22" customHeight="1">
      <c r="A33" s="5" t="n">
        <v>29</v>
      </c>
      <c r="B33" s="5" t="inlineStr"/>
      <c r="C33" s="12" t="inlineStr">
        <is>
          <t>M FAUZAN PRADIPTHA DIMAS CRISWARA</t>
        </is>
      </c>
      <c r="D33" s="5" t="inlineStr">
        <is>
          <t>Belum</t>
        </is>
      </c>
      <c r="E33" s="5" t="inlineStr">
        <is>
          <t>Belum</t>
        </is>
      </c>
      <c r="F33" s="5" t="inlineStr">
        <is>
          <t>Belum</t>
        </is>
      </c>
      <c r="G33" s="5" t="inlineStr">
        <is>
          <t>Belum</t>
        </is>
      </c>
      <c r="H33" s="5" t="inlineStr">
        <is>
          <t>T</t>
        </is>
      </c>
      <c r="I33" s="13">
        <f>COUNTIF(D33:G33, "Selesai")</f>
        <v/>
      </c>
      <c r="J33" s="13">
        <f>IF(H33="Y","E",IF(I33=4,"A",IF(I33=3,"B+",IF(I33=2,"B",IF(I33=1,"D","E")))))</f>
        <v/>
      </c>
      <c r="K33" s="13">
        <f>IF(J33="E","BELUM LULUS","LULUS")</f>
        <v/>
      </c>
    </row>
    <row r="34" ht="22" customHeight="1">
      <c r="A34" s="14" t="n">
        <v>30</v>
      </c>
      <c r="B34" s="14" t="inlineStr"/>
      <c r="C34" s="15" t="inlineStr">
        <is>
          <t>OKTA NUZULIFA</t>
        </is>
      </c>
      <c r="D34" s="14" t="inlineStr">
        <is>
          <t>Belum</t>
        </is>
      </c>
      <c r="E34" s="14" t="inlineStr">
        <is>
          <t>Belum</t>
        </is>
      </c>
      <c r="F34" s="14" t="inlineStr">
        <is>
          <t>Belum</t>
        </is>
      </c>
      <c r="G34" s="14" t="inlineStr">
        <is>
          <t>Belum</t>
        </is>
      </c>
      <c r="H34" s="14" t="inlineStr">
        <is>
          <t>T</t>
        </is>
      </c>
      <c r="I34" s="16">
        <f>COUNTIF(D34:G34, "Selesai")</f>
        <v/>
      </c>
      <c r="J34" s="16">
        <f>IF(H34="Y","E",IF(I34=4,"A",IF(I34=3,"B+",IF(I34=2,"B",IF(I34=1,"D","E")))))</f>
        <v/>
      </c>
      <c r="K34" s="16">
        <f>IF(J34="E","BELUM LULUS","LULUS")</f>
        <v/>
      </c>
    </row>
    <row r="35" ht="22" customHeight="1">
      <c r="A35" s="5" t="n">
        <v>31</v>
      </c>
      <c r="B35" s="5" t="inlineStr"/>
      <c r="C35" s="12" t="inlineStr">
        <is>
          <t>ANGGASTA VYAKTATAMA KAHFI</t>
        </is>
      </c>
      <c r="D35" s="5" t="inlineStr">
        <is>
          <t>Belum</t>
        </is>
      </c>
      <c r="E35" s="5" t="inlineStr">
        <is>
          <t>Belum</t>
        </is>
      </c>
      <c r="F35" s="5" t="inlineStr">
        <is>
          <t>Belum</t>
        </is>
      </c>
      <c r="G35" s="5" t="inlineStr">
        <is>
          <t>Belum</t>
        </is>
      </c>
      <c r="H35" s="5" t="inlineStr">
        <is>
          <t>T</t>
        </is>
      </c>
      <c r="I35" s="13">
        <f>COUNTIF(D35:G35, "Selesai")</f>
        <v/>
      </c>
      <c r="J35" s="13">
        <f>IF(H35="Y","E",IF(I35=4,"A",IF(I35=3,"B+",IF(I35=2,"B",IF(I35=1,"D","E")))))</f>
        <v/>
      </c>
      <c r="K35" s="13">
        <f>IF(J35="E","BELUM LULUS","LULUS")</f>
        <v/>
      </c>
    </row>
    <row r="36" ht="22" customHeight="1">
      <c r="A36" s="14" t="n">
        <v>32</v>
      </c>
      <c r="B36" s="14" t="inlineStr"/>
      <c r="C36" s="15" t="inlineStr">
        <is>
          <t>M ALVAN AZIZ WIRDIAN</t>
        </is>
      </c>
      <c r="D36" s="14" t="inlineStr">
        <is>
          <t>Belum</t>
        </is>
      </c>
      <c r="E36" s="14" t="inlineStr">
        <is>
          <t>Belum</t>
        </is>
      </c>
      <c r="F36" s="14" t="inlineStr">
        <is>
          <t>Belum</t>
        </is>
      </c>
      <c r="G36" s="14" t="inlineStr">
        <is>
          <t>Belum</t>
        </is>
      </c>
      <c r="H36" s="14" t="inlineStr">
        <is>
          <t>T</t>
        </is>
      </c>
      <c r="I36" s="16">
        <f>COUNTIF(D36:G36, "Selesai")</f>
        <v/>
      </c>
      <c r="J36" s="16">
        <f>IF(H36="Y","E",IF(I36=4,"A",IF(I36=3,"B+",IF(I36=2,"B",IF(I36=1,"D","E")))))</f>
        <v/>
      </c>
      <c r="K36" s="16">
        <f>IF(J36="E","BELUM LULUS","LULUS")</f>
        <v/>
      </c>
    </row>
    <row r="37" ht="22" customHeight="1">
      <c r="A37" s="5" t="n">
        <v>33</v>
      </c>
      <c r="B37" s="5" t="inlineStr"/>
      <c r="C37" s="12" t="inlineStr">
        <is>
          <t>ALYA AULIA AZZAHRA</t>
        </is>
      </c>
      <c r="D37" s="5" t="inlineStr">
        <is>
          <t>Belum</t>
        </is>
      </c>
      <c r="E37" s="5" t="inlineStr">
        <is>
          <t>Belum</t>
        </is>
      </c>
      <c r="F37" s="5" t="inlineStr">
        <is>
          <t>Belum</t>
        </is>
      </c>
      <c r="G37" s="5" t="inlineStr">
        <is>
          <t>Belum</t>
        </is>
      </c>
      <c r="H37" s="5" t="inlineStr">
        <is>
          <t>T</t>
        </is>
      </c>
      <c r="I37" s="13">
        <f>COUNTIF(D37:G37, "Selesai")</f>
        <v/>
      </c>
      <c r="J37" s="13">
        <f>IF(H37="Y","E",IF(I37=4,"A",IF(I37=3,"B+",IF(I37=2,"B",IF(I37=1,"D","E")))))</f>
        <v/>
      </c>
      <c r="K37" s="13">
        <f>IF(J37="E","BELUM LULUS","LULUS")</f>
        <v/>
      </c>
    </row>
    <row r="38" ht="22" customHeight="1">
      <c r="A38" s="14" t="n">
        <v>34</v>
      </c>
      <c r="B38" s="14" t="inlineStr"/>
      <c r="C38" s="15" t="inlineStr">
        <is>
          <t>MUHAMMAD RAYHAN PANJI BANURAGA</t>
        </is>
      </c>
      <c r="D38" s="14" t="inlineStr">
        <is>
          <t>Belum</t>
        </is>
      </c>
      <c r="E38" s="14" t="inlineStr">
        <is>
          <t>Belum</t>
        </is>
      </c>
      <c r="F38" s="14" t="inlineStr">
        <is>
          <t>Belum</t>
        </is>
      </c>
      <c r="G38" s="14" t="inlineStr">
        <is>
          <t>Belum</t>
        </is>
      </c>
      <c r="H38" s="14" t="inlineStr">
        <is>
          <t>T</t>
        </is>
      </c>
      <c r="I38" s="16">
        <f>COUNTIF(D38:G38, "Selesai")</f>
        <v/>
      </c>
      <c r="J38" s="16">
        <f>IF(H38="Y","E",IF(I38=4,"A",IF(I38=3,"B+",IF(I38=2,"B",IF(I38=1,"D","E")))))</f>
        <v/>
      </c>
      <c r="K38" s="16">
        <f>IF(J38="E","BELUM LULUS","LULUS")</f>
        <v/>
      </c>
    </row>
    <row r="39" ht="22" customHeight="1">
      <c r="A39" s="5" t="n">
        <v>35</v>
      </c>
      <c r="B39" s="5" t="inlineStr"/>
      <c r="C39" s="12" t="inlineStr">
        <is>
          <t>M. IMAN NUR RISKI</t>
        </is>
      </c>
      <c r="D39" s="5" t="inlineStr">
        <is>
          <t>Belum</t>
        </is>
      </c>
      <c r="E39" s="5" t="inlineStr">
        <is>
          <t>Belum</t>
        </is>
      </c>
      <c r="F39" s="5" t="inlineStr">
        <is>
          <t>Belum</t>
        </is>
      </c>
      <c r="G39" s="5" t="inlineStr">
        <is>
          <t>Belum</t>
        </is>
      </c>
      <c r="H39" s="5" t="inlineStr">
        <is>
          <t>T</t>
        </is>
      </c>
      <c r="I39" s="13">
        <f>COUNTIF(D39:G39, "Selesai")</f>
        <v/>
      </c>
      <c r="J39" s="13">
        <f>IF(H39="Y","E",IF(I39=4,"A",IF(I39=3,"B+",IF(I39=2,"B",IF(I39=1,"D","E")))))</f>
        <v/>
      </c>
      <c r="K39" s="13">
        <f>IF(J39="E","BELUM LULUS","LULUS")</f>
        <v/>
      </c>
    </row>
    <row r="40" ht="22" customHeight="1">
      <c r="A40" s="14" t="n">
        <v>36</v>
      </c>
      <c r="B40" s="14" t="inlineStr"/>
      <c r="C40" s="15" t="inlineStr">
        <is>
          <t>RYAN ANANDA DJAWA</t>
        </is>
      </c>
      <c r="D40" s="14" t="inlineStr">
        <is>
          <t>Belum</t>
        </is>
      </c>
      <c r="E40" s="14" t="inlineStr">
        <is>
          <t>Belum</t>
        </is>
      </c>
      <c r="F40" s="14" t="inlineStr">
        <is>
          <t>Belum</t>
        </is>
      </c>
      <c r="G40" s="14" t="inlineStr">
        <is>
          <t>Belum</t>
        </is>
      </c>
      <c r="H40" s="14" t="inlineStr">
        <is>
          <t>T</t>
        </is>
      </c>
      <c r="I40" s="16">
        <f>COUNTIF(D40:G40, "Selesai")</f>
        <v/>
      </c>
      <c r="J40" s="16">
        <f>IF(H40="Y","E",IF(I40=4,"A",IF(I40=3,"B+",IF(I40=2,"B",IF(I40=1,"D","E")))))</f>
        <v/>
      </c>
      <c r="K40" s="16">
        <f>IF(J40="E","BELUM LULUS","LULUS")</f>
        <v/>
      </c>
    </row>
    <row r="41" ht="22" customHeight="1">
      <c r="A41" s="5" t="n">
        <v>37</v>
      </c>
      <c r="B41" s="5" t="inlineStr"/>
      <c r="C41" s="12" t="inlineStr">
        <is>
          <t>CARESS SUCHI DABRILA</t>
        </is>
      </c>
      <c r="D41" s="5" t="inlineStr">
        <is>
          <t>Belum</t>
        </is>
      </c>
      <c r="E41" s="5" t="inlineStr">
        <is>
          <t>Belum</t>
        </is>
      </c>
      <c r="F41" s="5" t="inlineStr">
        <is>
          <t>Belum</t>
        </is>
      </c>
      <c r="G41" s="5" t="inlineStr">
        <is>
          <t>Belum</t>
        </is>
      </c>
      <c r="H41" s="5" t="inlineStr">
        <is>
          <t>T</t>
        </is>
      </c>
      <c r="I41" s="13">
        <f>COUNTIF(D41:G41, "Selesai")</f>
        <v/>
      </c>
      <c r="J41" s="13">
        <f>IF(H41="Y","E",IF(I41=4,"A",IF(I41=3,"B+",IF(I41=2,"B",IF(I41=1,"D","E")))))</f>
        <v/>
      </c>
      <c r="K41" s="13">
        <f>IF(J41="E","BELUM LULUS","LULUS")</f>
        <v/>
      </c>
    </row>
    <row r="42" ht="22" customHeight="1">
      <c r="A42" s="14" t="n">
        <v>38</v>
      </c>
      <c r="B42" s="14" t="inlineStr"/>
      <c r="C42" s="15" t="inlineStr">
        <is>
          <t>SALSABILA NURLAILI</t>
        </is>
      </c>
      <c r="D42" s="14" t="inlineStr">
        <is>
          <t>Belum</t>
        </is>
      </c>
      <c r="E42" s="14" t="inlineStr">
        <is>
          <t>Belum</t>
        </is>
      </c>
      <c r="F42" s="14" t="inlineStr">
        <is>
          <t>Belum</t>
        </is>
      </c>
      <c r="G42" s="14" t="inlineStr">
        <is>
          <t>Belum</t>
        </is>
      </c>
      <c r="H42" s="14" t="inlineStr">
        <is>
          <t>T</t>
        </is>
      </c>
      <c r="I42" s="16">
        <f>COUNTIF(D42:G42, "Selesai")</f>
        <v/>
      </c>
      <c r="J42" s="16">
        <f>IF(H42="Y","E",IF(I42=4,"A",IF(I42=3,"B+",IF(I42=2,"B",IF(I42=1,"D","E")))))</f>
        <v/>
      </c>
      <c r="K42" s="16">
        <f>IF(J42="E","BELUM LULUS","LULUS")</f>
        <v/>
      </c>
    </row>
    <row r="43" ht="22" customHeight="1">
      <c r="A43" s="5" t="n">
        <v>39</v>
      </c>
      <c r="B43" s="5" t="inlineStr"/>
      <c r="C43" s="12" t="inlineStr">
        <is>
          <t>ABHIRAMA BALAPHRADANA VISHNU R</t>
        </is>
      </c>
      <c r="D43" s="5" t="inlineStr">
        <is>
          <t>Belum</t>
        </is>
      </c>
      <c r="E43" s="5" t="inlineStr">
        <is>
          <t>Belum</t>
        </is>
      </c>
      <c r="F43" s="5" t="inlineStr">
        <is>
          <t>Belum</t>
        </is>
      </c>
      <c r="G43" s="5" t="inlineStr">
        <is>
          <t>Belum</t>
        </is>
      </c>
      <c r="H43" s="5" t="inlineStr">
        <is>
          <t>T</t>
        </is>
      </c>
      <c r="I43" s="13">
        <f>COUNTIF(D43:G43, "Selesai")</f>
        <v/>
      </c>
      <c r="J43" s="13">
        <f>IF(H43="Y","E",IF(I43=4,"A",IF(I43=3,"B+",IF(I43=2,"B",IF(I43=1,"D","E")))))</f>
        <v/>
      </c>
      <c r="K43" s="13">
        <f>IF(J43="E","BELUM LULUS","LULUS")</f>
        <v/>
      </c>
    </row>
    <row r="44" ht="22" customHeight="1">
      <c r="A44" s="14" t="n">
        <v>40</v>
      </c>
      <c r="B44" s="14" t="inlineStr"/>
      <c r="C44" s="15" t="inlineStr">
        <is>
          <t>REGIANA HERMAWAN</t>
        </is>
      </c>
      <c r="D44" s="14" t="inlineStr">
        <is>
          <t>Belum</t>
        </is>
      </c>
      <c r="E44" s="14" t="inlineStr">
        <is>
          <t>Belum</t>
        </is>
      </c>
      <c r="F44" s="14" t="inlineStr">
        <is>
          <t>Belum</t>
        </is>
      </c>
      <c r="G44" s="14" t="inlineStr">
        <is>
          <t>Belum</t>
        </is>
      </c>
      <c r="H44" s="14" t="inlineStr">
        <is>
          <t>T</t>
        </is>
      </c>
      <c r="I44" s="16">
        <f>COUNTIF(D44:G44, "Selesai")</f>
        <v/>
      </c>
      <c r="J44" s="16">
        <f>IF(H44="Y","E",IF(I44=4,"A",IF(I44=3,"B+",IF(I44=2,"B",IF(I44=1,"D","E")))))</f>
        <v/>
      </c>
      <c r="K44" s="16">
        <f>IF(J44="E","BELUM LULUS","LULUS")</f>
        <v/>
      </c>
    </row>
  </sheetData>
  <dataValidations count="2">
    <dataValidation sqref="D5:G44" showDropDown="0" showInputMessage="0" showErrorMessage="0" allowBlank="1" type="list">
      <formula1>"Selesai,Belum"</formula1>
    </dataValidation>
    <dataValidation sqref="H5:H44" showDropDown="0" showInputMessage="0" showErrorMessage="0" allowBlank="1" type="list">
      <formula1>"Y,T"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2026-08-04T12:50:18Z</dcterms:created>
  <dcterms:modified xsi:type="dcterms:W3CDTF">2026-08-04T12:50:18Z</dcterms:modified>
</cp:coreProperties>
</file>